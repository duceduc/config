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6"/>
  <workbookPr/>
  <mc:AlternateContent xmlns:mc="http://schemas.openxmlformats.org/markup-compatibility/2006">
    <mc:Choice Requires="x15">
      <x15ac:absPath xmlns:x15ac="http://schemas.microsoft.com/office/spreadsheetml/2010/11/ac" url="Q:\scripts\"/>
    </mc:Choice>
  </mc:AlternateContent>
  <xr:revisionPtr revIDLastSave="0" documentId="13_ncr:1_{77BB0C8F-1E89-4F82-8982-854252997642}" xr6:coauthVersionLast="36" xr6:coauthVersionMax="47" xr10:uidLastSave="{00000000-0000-0000-0000-000000000000}"/>
  <bookViews>
    <workbookView xWindow="16485" yWindow="1020" windowWidth="17085" windowHeight="20370" tabRatio="720" xr2:uid="{00000000-000D-0000-FFFF-FFFF00000000}"/>
  </bookViews>
  <sheets>
    <sheet name="PF-2021 VMCL (4)" sheetId="88" r:id="rId1"/>
    <sheet name="PF-2021 VMCL (3B)" sheetId="87" r:id="rId2"/>
    <sheet name="PF-2021 VMCL (3A)" sheetId="86" r:id="rId3"/>
    <sheet name="PF-2021 VMCL (2)" sheetId="85" r:id="rId4"/>
    <sheet name="PF-2021 VMCL (1)" sheetId="84" r:id="rId5"/>
  </sheets>
  <definedNames>
    <definedName name="_xlnm.Print_Area" localSheetId="4">'PF-2021 VMCL (1)'!$A$1:$D$69</definedName>
    <definedName name="_xlnm.Print_Area" localSheetId="3">'PF-2021 VMCL (2)'!$A$1:$D$69</definedName>
    <definedName name="_xlnm.Print_Area" localSheetId="2">'PF-2021 VMCL (3A)'!$A$1:$D$69</definedName>
    <definedName name="_xlnm.Print_Area" localSheetId="1">'PF-2021 VMCL (3B)'!$A$1:$D$69</definedName>
    <definedName name="_xlnm.Print_Area" localSheetId="0">'PF-2021 VMCL (4)'!$A$1:$D$69</definedName>
  </definedNames>
  <calcPr calcId="191029"/>
</workbook>
</file>

<file path=xl/calcChain.xml><?xml version="1.0" encoding="utf-8"?>
<calcChain xmlns="http://schemas.openxmlformats.org/spreadsheetml/2006/main">
  <c r="D60" i="88" l="1"/>
  <c r="D60" i="87" l="1"/>
  <c r="D60" i="86"/>
  <c r="D60" i="85"/>
  <c r="D60" i="84"/>
</calcChain>
</file>

<file path=xl/sharedStrings.xml><?xml version="1.0" encoding="utf-8"?>
<sst xmlns="http://schemas.openxmlformats.org/spreadsheetml/2006/main" count="289" uniqueCount="92">
  <si>
    <t>Japan Car And Boat Co., Ltd.</t>
  </si>
  <si>
    <t>2-14-8  SHISHIBONE EDOGAWA-KU, TOKYO 133-0073, JAPAN</t>
  </si>
  <si>
    <t>TEL. +81-3-3678-7937  FAX. +81-3-3678-7947</t>
  </si>
  <si>
    <t>PROFORMA INVOICE</t>
  </si>
  <si>
    <t xml:space="preserve">INVOICE NO: </t>
  </si>
  <si>
    <t>INVOICE DATED:</t>
  </si>
  <si>
    <t>CONSIGNEE:</t>
  </si>
  <si>
    <t>SHIPPING DETAIL:</t>
  </si>
  <si>
    <t>VENTUR MOTOR CENTRE CO LTD</t>
  </si>
  <si>
    <t>16, THOMAS DINGLI STR.</t>
  </si>
  <si>
    <t>MOSTA, MST 06</t>
  </si>
  <si>
    <t>MALTA</t>
  </si>
  <si>
    <t>NOTIFY PARTY:</t>
  </si>
  <si>
    <t>SHIPPER:</t>
  </si>
  <si>
    <t>SAME AS CONSIGNEE</t>
  </si>
  <si>
    <t>JAPAN CAR AND BOAT CO., LTD.</t>
  </si>
  <si>
    <t>2-14-8 SHISHIBONE EDOGAWA-KU</t>
  </si>
  <si>
    <t>TOKYO 133-0073, JAPAN</t>
  </si>
  <si>
    <t>FILE</t>
  </si>
  <si>
    <t>VEHICLE</t>
  </si>
  <si>
    <t>CHASSIS NUMBER</t>
  </si>
  <si>
    <t>FOB VALUE (JPY)</t>
  </si>
  <si>
    <t>NUMBER</t>
  </si>
  <si>
    <t>YEAR/MAKER/MODEL</t>
  </si>
  <si>
    <t>JAPAN</t>
  </si>
  <si>
    <t>USED MOTOR VEHICLE(S) &amp; ASSORTED PART(S)</t>
  </si>
  <si>
    <t>PAYMENTS RECEIVED:</t>
  </si>
  <si>
    <t>Total (Japanese Yen )</t>
  </si>
  <si>
    <t>PLEASE REMIT FUNDS TO:</t>
  </si>
  <si>
    <t>E&amp;OE</t>
  </si>
  <si>
    <t>Accnt Name: JAPAN CAR AND BOAT CO., LTD.</t>
  </si>
  <si>
    <r>
      <rPr>
        <b/>
        <sz val="11"/>
        <rFont val="Arial"/>
        <family val="2"/>
      </rPr>
      <t>Acc No.</t>
    </r>
    <r>
      <rPr>
        <sz val="11"/>
        <rFont val="Arial"/>
        <family val="2"/>
      </rPr>
      <t>: (821) 2076262</t>
    </r>
  </si>
  <si>
    <r>
      <rPr>
        <b/>
        <sz val="11"/>
        <rFont val="Arial"/>
        <family val="2"/>
      </rPr>
      <t>Bank &amp; Address</t>
    </r>
    <r>
      <rPr>
        <sz val="11"/>
        <rFont val="Arial"/>
        <family val="2"/>
      </rPr>
      <t>: Sumitomo Mitsui Banking Corporation</t>
    </r>
  </si>
  <si>
    <t>Edogawa Branch (821)</t>
  </si>
  <si>
    <t>7-26-7, Shinozaki Ekimae, Edogawa Ku</t>
  </si>
  <si>
    <t>Tokyo 133-0061, Japan</t>
  </si>
  <si>
    <t>Jason Church</t>
  </si>
  <si>
    <t>Swift Code: SMBCJPJT</t>
  </si>
  <si>
    <t>President</t>
  </si>
  <si>
    <t>Japan Car &amp; Boat Co.</t>
  </si>
  <si>
    <t xml:space="preserve">FINAL DESTINATION: </t>
  </si>
  <si>
    <t>POD: VALLETTA, MALTA</t>
  </si>
  <si>
    <t>SHIP LINE: HOEGH AUTOLINERS</t>
  </si>
  <si>
    <t>POL: SAKAISENBOKU / KAWASAKI, JAPAN</t>
  </si>
  <si>
    <t>SHIP NAME: </t>
  </si>
  <si>
    <t>SO / ETD / ETA: </t>
  </si>
  <si>
    <t xml:space="preserve">BOOKING NO: </t>
  </si>
  <si>
    <t>SHIP BY RORO: BL 1</t>
  </si>
  <si>
    <t>KAWASAKI / YOKOHAMA: SHIP ETD ??? ?? / ETA ??? ??</t>
  </si>
  <si>
    <t>JCB210301125553</t>
  </si>
  <si>
    <t>KR102-0771</t>
  </si>
  <si>
    <t>Yellow</t>
  </si>
  <si>
    <t>2001/06 Kato KR10H-L2 10-Ton Crane</t>
  </si>
  <si>
    <t>SAKAISENBOKU / OSAKA / KOBE: SHIP ETD ??? ?? / ETA ??? ??</t>
  </si>
  <si>
    <t>POL: SAKAISENBOKU / OSAKA / KOBE, JAPAN</t>
  </si>
  <si>
    <t>TR120-1412</t>
  </si>
  <si>
    <t>Blue-White</t>
  </si>
  <si>
    <t>2007/10 Tadano GR120N-1 12-Ton Crane</t>
  </si>
  <si>
    <t>JCB210304055055</t>
  </si>
  <si>
    <t>Payment SPLIT(14,813,000=6,413,000+3,500,000+4,900,000)</t>
  </si>
  <si>
    <t>REF: 43568695  (14,813,000 = 2020 GRP06 6,413,000 + 2021 GRP01 3,500,000 + GRP02 4,900,000)</t>
  </si>
  <si>
    <t>2011/02 Toyota Hiace Van DX</t>
  </si>
  <si>
    <t>KDH201-0069954</t>
  </si>
  <si>
    <t>SHIP BY RORO: BL 2</t>
  </si>
  <si>
    <t>Payment Pending</t>
  </si>
  <si>
    <t>White</t>
  </si>
  <si>
    <t>5506012</t>
  </si>
  <si>
    <t>2010/02 Hino Dutro Freezer -25C Dual Voltage</t>
  </si>
  <si>
    <t>XZU548 - 0001941</t>
  </si>
  <si>
    <t>JCB210613095625-A</t>
  </si>
  <si>
    <t>JCB210613095625-B</t>
  </si>
  <si>
    <t>5506097</t>
  </si>
  <si>
    <t>TR120-1574</t>
  </si>
  <si>
    <t>Red</t>
  </si>
  <si>
    <t>5506098</t>
  </si>
  <si>
    <t>KR130-1257</t>
  </si>
  <si>
    <t>Blue</t>
  </si>
  <si>
    <t>SO / ETD / ETA:</t>
  </si>
  <si>
    <t>SHIP BY RORO: BL ?</t>
  </si>
  <si>
    <t>KAWASAKI / YOKOHAMA: SHIP ETD JUL ?? / ETA AUG ??</t>
  </si>
  <si>
    <t>2008/06 Tadano Rough Terrain Crane GR-120N-1</t>
  </si>
  <si>
    <t>2006/11 Kato Rough Terrain Crane KRM13G</t>
  </si>
  <si>
    <t>SAKAISENBOKU / OSAKA / KOBE: SHIP ETD JUL 05 / ETA AUG 03</t>
  </si>
  <si>
    <t>SO / ETD / ETA: JUNE 30 / JULY 03 / AUG 03</t>
  </si>
  <si>
    <t>SAKAISENBOKU / OSAKA / KOBE: SHIP ETD MAY 10 / ETA JUN 13</t>
  </si>
  <si>
    <t>KAWASAKI / YOKOHAMA: SHIP ETD MAY 07 / ETA JUN 13</t>
  </si>
  <si>
    <t>5507040</t>
  </si>
  <si>
    <t>KDY221-8003838</t>
  </si>
  <si>
    <t>JCB210719093112-A</t>
  </si>
  <si>
    <t>2013/07 Toyota Toyoace Flat Deck</t>
  </si>
  <si>
    <t>2009/02 Iszu Elf Manlift</t>
  </si>
  <si>
    <t>NKR85-7001247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</si>
</sst>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¥&quot;#,##0;[Red]\-&quot;¥&quot;#,##0"/>
    <numFmt numFmtId="165" formatCode="[$¥-411]#,##0"/>
    <numFmt numFmtId="166" formatCode="[$-409]mmmm\ d\,\ yyyy;@"/>
    <numFmt numFmtId="167" formatCode="[$$-409]#,##0_ ;[Red]\-[$$-409]#,##0\ "/>
    <numFmt numFmtId="168" formatCode="[$¥-411]#,##0;[Red]\-[$¥-411]#,##0"/>
  </numFmts>
  <fonts count="23">
    <font>
      <sz val="10"/>
      <name val="Arial"/>
      <family val="2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0"/>
      <name val="Microsoft Sans Serif"/>
      <family val="2"/>
    </font>
    <font>
      <sz val="28"/>
      <name val="Copperplate Gothic Light"/>
      <family val="2"/>
    </font>
    <font>
      <b/>
      <sz val="11"/>
      <name val="Arial CYR"/>
      <family val="2"/>
    </font>
    <font>
      <b/>
      <sz val="11"/>
      <name val="Arial CYR"/>
    </font>
    <font>
      <sz val="11"/>
      <name val="Arial CYR"/>
      <family val="2"/>
    </font>
    <font>
      <sz val="10"/>
      <name val="ＭＳ Ｐゴシック"/>
      <family val="3"/>
      <charset val="128"/>
    </font>
    <font>
      <sz val="10"/>
      <name val="ＭＳ Ｐゴシック"/>
      <family val="2"/>
      <charset val="128"/>
    </font>
    <font>
      <u/>
      <sz val="10"/>
      <color theme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8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165" fontId="20" fillId="0" borderId="0"/>
    <xf numFmtId="0" fontId="7" fillId="0" borderId="0" applyNumberFormat="0" applyFont="0" applyFill="0" applyBorder="0" applyAlignment="0" applyProtection="0"/>
    <xf numFmtId="0" fontId="19" fillId="0" borderId="0"/>
    <xf numFmtId="0" fontId="19" fillId="0" borderId="0"/>
    <xf numFmtId="165" fontId="20" fillId="0" borderId="0"/>
    <xf numFmtId="167" fontId="5" fillId="0" borderId="0"/>
    <xf numFmtId="167" fontId="19" fillId="0" borderId="0"/>
    <xf numFmtId="167" fontId="19" fillId="0" borderId="0"/>
    <xf numFmtId="167" fontId="7" fillId="0" borderId="0" applyNumberFormat="0" applyFont="0" applyFill="0" applyBorder="0" applyAlignment="0" applyProtection="0"/>
    <xf numFmtId="167" fontId="19" fillId="0" borderId="0"/>
    <xf numFmtId="167" fontId="7" fillId="0" borderId="0"/>
    <xf numFmtId="167" fontId="19" fillId="0" borderId="0"/>
    <xf numFmtId="167" fontId="5" fillId="0" borderId="0"/>
    <xf numFmtId="167" fontId="7" fillId="0" borderId="0" applyNumberFormat="0" applyFont="0" applyFill="0" applyBorder="0" applyAlignment="0" applyProtection="0"/>
    <xf numFmtId="167" fontId="19" fillId="0" borderId="0"/>
    <xf numFmtId="0" fontId="7" fillId="0" borderId="0"/>
    <xf numFmtId="167" fontId="5" fillId="0" borderId="0"/>
    <xf numFmtId="167" fontId="5" fillId="0" borderId="0"/>
    <xf numFmtId="167" fontId="5" fillId="0" borderId="0"/>
    <xf numFmtId="0" fontId="7" fillId="0" borderId="0"/>
    <xf numFmtId="0" fontId="19" fillId="0" borderId="0"/>
    <xf numFmtId="0" fontId="19" fillId="0" borderId="0"/>
    <xf numFmtId="0" fontId="7" fillId="0" borderId="0" applyNumberFormat="0" applyFont="0" applyFill="0" applyBorder="0" applyAlignment="0" applyProtection="0"/>
    <xf numFmtId="167" fontId="5" fillId="0" borderId="0"/>
    <xf numFmtId="167" fontId="19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0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4" fillId="0" borderId="0"/>
    <xf numFmtId="167" fontId="4" fillId="0" borderId="0"/>
    <xf numFmtId="167" fontId="4" fillId="0" borderId="0"/>
    <xf numFmtId="0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3" fillId="0" borderId="0"/>
    <xf numFmtId="167" fontId="3" fillId="0" borderId="0"/>
    <xf numFmtId="167" fontId="3" fillId="0" borderId="0"/>
    <xf numFmtId="0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0" fontId="19" fillId="0" borderId="0"/>
    <xf numFmtId="165" fontId="20" fillId="0" borderId="0"/>
    <xf numFmtId="0" fontId="7" fillId="0" borderId="0" applyNumberFormat="0" applyFont="0" applyFill="0" applyBorder="0" applyAlignment="0" applyProtection="0"/>
    <xf numFmtId="0" fontId="19" fillId="0" borderId="0"/>
    <xf numFmtId="165" fontId="20" fillId="0" borderId="0"/>
    <xf numFmtId="165" fontId="20" fillId="0" borderId="0"/>
    <xf numFmtId="167" fontId="7" fillId="0" borderId="0" applyNumberFormat="0" applyFont="0" applyFill="0" applyBorder="0" applyAlignment="0" applyProtection="0"/>
    <xf numFmtId="167" fontId="19" fillId="0" borderId="0"/>
    <xf numFmtId="167" fontId="3" fillId="0" borderId="0"/>
    <xf numFmtId="167" fontId="19" fillId="0" borderId="0"/>
    <xf numFmtId="167" fontId="19" fillId="0" borderId="0"/>
    <xf numFmtId="167" fontId="7" fillId="0" borderId="0" applyNumberFormat="0" applyFont="0" applyFill="0" applyBorder="0" applyAlignment="0" applyProtection="0"/>
    <xf numFmtId="0" fontId="19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19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0" fontId="3" fillId="0" borderId="0"/>
    <xf numFmtId="167" fontId="7" fillId="0" borderId="0" applyNumberFormat="0" applyFont="0" applyFill="0" applyBorder="0" applyAlignment="0" applyProtection="0"/>
    <xf numFmtId="165" fontId="20" fillId="0" borderId="0"/>
    <xf numFmtId="165" fontId="20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0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2" fillId="0" borderId="0"/>
    <xf numFmtId="167" fontId="7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1" fillId="0" borderId="0"/>
    <xf numFmtId="167" fontId="1" fillId="0" borderId="0"/>
    <xf numFmtId="167" fontId="1" fillId="0" borderId="0"/>
    <xf numFmtId="0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7" fillId="0" borderId="0"/>
    <xf numFmtId="0" fontId="21" fillId="0" borderId="0" applyNumberFormat="0" applyFill="0" applyBorder="0" applyAlignment="0" applyProtection="0"/>
    <xf numFmtId="167" fontId="19" fillId="0" borderId="0"/>
    <xf numFmtId="167" fontId="1" fillId="0" borderId="0"/>
    <xf numFmtId="0" fontId="7" fillId="0" borderId="0"/>
  </cellStyleXfs>
  <cellXfs count="114">
    <xf numFmtId="0" fontId="0" fillId="0" borderId="0" xfId="0"/>
    <xf numFmtId="0" fontId="8" fillId="0" borderId="0" xfId="0" applyFont="1"/>
    <xf numFmtId="0" fontId="9" fillId="0" borderId="0" xfId="0" applyFont="1"/>
    <xf numFmtId="0" fontId="11" fillId="0" borderId="0" xfId="0" applyFont="1" applyAlignment="1">
      <alignment horizontal="right"/>
    </xf>
    <xf numFmtId="0" fontId="7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3" fontId="7" fillId="0" borderId="0" xfId="0" applyNumberFormat="1" applyFont="1" applyAlignment="1">
      <alignment horizontal="center"/>
    </xf>
    <xf numFmtId="0" fontId="7" fillId="0" borderId="0" xfId="0" applyFont="1" applyAlignment="1">
      <alignment vertical="top" wrapText="1"/>
    </xf>
    <xf numFmtId="0" fontId="7" fillId="0" borderId="0" xfId="0" applyFont="1"/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right"/>
    </xf>
    <xf numFmtId="0" fontId="6" fillId="0" borderId="1" xfId="0" applyFont="1" applyBorder="1" applyAlignment="1">
      <alignment horizontal="left" vertical="center"/>
    </xf>
    <xf numFmtId="166" fontId="7" fillId="0" borderId="0" xfId="0" applyNumberFormat="1" applyFont="1" applyAlignment="1">
      <alignment horizontal="center"/>
    </xf>
    <xf numFmtId="0" fontId="0" fillId="0" borderId="1" xfId="0" applyBorder="1" applyAlignment="1">
      <alignment horizontal="left"/>
    </xf>
    <xf numFmtId="0" fontId="17" fillId="0" borderId="1" xfId="4" applyFont="1" applyBorder="1"/>
    <xf numFmtId="0" fontId="16" fillId="0" borderId="1" xfId="0" applyFont="1" applyBorder="1" applyAlignment="1">
      <alignment horizontal="left"/>
    </xf>
    <xf numFmtId="0" fontId="18" fillId="0" borderId="1" xfId="4" applyFont="1" applyBorder="1"/>
    <xf numFmtId="0" fontId="18" fillId="0" borderId="1" xfId="0" applyFont="1" applyBorder="1"/>
    <xf numFmtId="0" fontId="8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7" fillId="0" borderId="0" xfId="3" applyAlignment="1">
      <alignment horizontal="right"/>
    </xf>
    <xf numFmtId="0" fontId="0" fillId="0" borderId="1" xfId="0" applyBorder="1"/>
    <xf numFmtId="0" fontId="6" fillId="0" borderId="1" xfId="3" applyFont="1" applyBorder="1"/>
    <xf numFmtId="0" fontId="0" fillId="0" borderId="5" xfId="0" applyBorder="1" applyAlignment="1">
      <alignment horizontal="left"/>
    </xf>
    <xf numFmtId="0" fontId="12" fillId="0" borderId="1" xfId="2" applyFont="1" applyBorder="1" applyAlignment="1">
      <alignment horizontal="left"/>
    </xf>
    <xf numFmtId="0" fontId="0" fillId="0" borderId="1" xfId="3" applyFont="1" applyBorder="1"/>
    <xf numFmtId="0" fontId="7" fillId="0" borderId="3" xfId="3" applyBorder="1" applyAlignment="1">
      <alignment horizontal="left"/>
    </xf>
    <xf numFmtId="0" fontId="10" fillId="0" borderId="0" xfId="0" applyFont="1" applyAlignment="1">
      <alignment horizontal="left"/>
    </xf>
    <xf numFmtId="0" fontId="7" fillId="0" borderId="1" xfId="0" applyFont="1" applyBorder="1"/>
    <xf numFmtId="0" fontId="14" fillId="0" borderId="1" xfId="3" applyFont="1" applyBorder="1" applyAlignment="1">
      <alignment horizontal="left"/>
    </xf>
    <xf numFmtId="0" fontId="6" fillId="0" borderId="2" xfId="3" applyFont="1" applyBorder="1" applyAlignment="1">
      <alignment horizontal="left"/>
    </xf>
    <xf numFmtId="0" fontId="6" fillId="0" borderId="2" xfId="3" applyFont="1" applyBorder="1"/>
    <xf numFmtId="0" fontId="7" fillId="0" borderId="1" xfId="3" applyBorder="1"/>
    <xf numFmtId="0" fontId="6" fillId="0" borderId="1" xfId="3" applyFont="1" applyBorder="1" applyAlignment="1">
      <alignment horizontal="left"/>
    </xf>
    <xf numFmtId="3" fontId="7" fillId="0" borderId="4" xfId="3" applyNumberFormat="1" applyBorder="1" applyAlignment="1">
      <alignment horizontal="right"/>
    </xf>
    <xf numFmtId="3" fontId="7" fillId="0" borderId="1" xfId="3" applyNumberFormat="1" applyBorder="1" applyAlignment="1">
      <alignment horizontal="left"/>
    </xf>
    <xf numFmtId="0" fontId="12" fillId="0" borderId="2" xfId="3" applyFont="1" applyBorder="1" applyAlignment="1">
      <alignment horizontal="left"/>
    </xf>
    <xf numFmtId="0" fontId="12" fillId="0" borderId="3" xfId="3" applyFont="1" applyBorder="1" applyAlignment="1">
      <alignment horizontal="left"/>
    </xf>
    <xf numFmtId="0" fontId="12" fillId="0" borderId="3" xfId="3" applyFont="1" applyBorder="1" applyAlignment="1">
      <alignment horizontal="center"/>
    </xf>
    <xf numFmtId="3" fontId="12" fillId="0" borderId="4" xfId="3" applyNumberFormat="1" applyFont="1" applyBorder="1" applyAlignment="1">
      <alignment horizontal="right"/>
    </xf>
    <xf numFmtId="0" fontId="12" fillId="0" borderId="5" xfId="3" applyFont="1" applyBorder="1" applyAlignment="1">
      <alignment horizontal="left"/>
    </xf>
    <xf numFmtId="0" fontId="12" fillId="0" borderId="6" xfId="3" applyFont="1" applyBorder="1" applyAlignment="1">
      <alignment horizontal="left"/>
    </xf>
    <xf numFmtId="0" fontId="12" fillId="0" borderId="6" xfId="3" applyFont="1" applyBorder="1" applyAlignment="1">
      <alignment horizontal="center"/>
    </xf>
    <xf numFmtId="3" fontId="12" fillId="0" borderId="7" xfId="3" applyNumberFormat="1" applyFont="1" applyBorder="1" applyAlignment="1">
      <alignment horizontal="right"/>
    </xf>
    <xf numFmtId="3" fontId="0" fillId="0" borderId="1" xfId="3" applyNumberFormat="1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6" xfId="0" applyFont="1" applyBorder="1" applyAlignment="1">
      <alignment horizontal="center"/>
    </xf>
    <xf numFmtId="0" fontId="12" fillId="0" borderId="5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6" xfId="0" applyFont="1" applyBorder="1" applyAlignment="1">
      <alignment horizontal="center"/>
    </xf>
    <xf numFmtId="0" fontId="8" fillId="0" borderId="1" xfId="0" applyFont="1" applyBorder="1"/>
    <xf numFmtId="16" fontId="8" fillId="0" borderId="1" xfId="0" applyNumberFormat="1" applyFont="1" applyBorder="1"/>
    <xf numFmtId="0" fontId="8" fillId="0" borderId="5" xfId="2" applyFont="1" applyBorder="1" applyAlignment="1">
      <alignment horizontal="left"/>
    </xf>
    <xf numFmtId="0" fontId="0" fillId="0" borderId="6" xfId="0" applyBorder="1"/>
    <xf numFmtId="0" fontId="18" fillId="0" borderId="5" xfId="0" applyFont="1" applyBorder="1"/>
    <xf numFmtId="0" fontId="8" fillId="0" borderId="7" xfId="0" applyFont="1" applyBorder="1"/>
    <xf numFmtId="167" fontId="0" fillId="0" borderId="0" xfId="12" applyFont="1"/>
    <xf numFmtId="167" fontId="7" fillId="0" borderId="0" xfId="12" applyFont="1" applyAlignment="1">
      <alignment horizontal="center"/>
    </xf>
    <xf numFmtId="167" fontId="7" fillId="0" borderId="0" xfId="12" applyFont="1"/>
    <xf numFmtId="164" fontId="7" fillId="0" borderId="0" xfId="12" applyNumberFormat="1" applyFont="1" applyAlignment="1">
      <alignment horizontal="left"/>
    </xf>
    <xf numFmtId="166" fontId="7" fillId="0" borderId="0" xfId="12" applyNumberFormat="1" applyFont="1" applyAlignment="1">
      <alignment horizontal="center"/>
    </xf>
    <xf numFmtId="167" fontId="7" fillId="0" borderId="0" xfId="12" applyFont="1" applyAlignment="1">
      <alignment horizontal="left"/>
    </xf>
    <xf numFmtId="167" fontId="0" fillId="0" borderId="0" xfId="12" applyFont="1" applyAlignment="1">
      <alignment horizontal="center"/>
    </xf>
    <xf numFmtId="49" fontId="6" fillId="0" borderId="1" xfId="240" applyNumberFormat="1" applyFont="1" applyBorder="1" applyAlignment="1">
      <alignment horizontal="left"/>
    </xf>
    <xf numFmtId="164" fontId="7" fillId="0" borderId="0" xfId="12" applyNumberFormat="1" applyFont="1" applyAlignment="1">
      <alignment horizontal="right"/>
    </xf>
    <xf numFmtId="167" fontId="0" fillId="0" borderId="0" xfId="12" applyFont="1" applyAlignment="1">
      <alignment horizontal="left"/>
    </xf>
    <xf numFmtId="164" fontId="0" fillId="0" borderId="0" xfId="12" applyNumberFormat="1" applyFont="1" applyAlignment="1">
      <alignment horizontal="left"/>
    </xf>
    <xf numFmtId="49" fontId="7" fillId="0" borderId="1" xfId="240" applyNumberFormat="1" applyBorder="1" applyAlignment="1">
      <alignment horizontal="left"/>
    </xf>
    <xf numFmtId="0" fontId="7" fillId="0" borderId="8" xfId="0" applyFont="1" applyBorder="1"/>
    <xf numFmtId="0" fontId="7" fillId="0" borderId="8" xfId="1" applyBorder="1" applyAlignment="1">
      <alignment horizontal="left"/>
    </xf>
    <xf numFmtId="0" fontId="7" fillId="0" borderId="8" xfId="0" applyFont="1" applyBorder="1" applyAlignment="1">
      <alignment horizontal="right"/>
    </xf>
    <xf numFmtId="0" fontId="8" fillId="0" borderId="8" xfId="0" applyFont="1" applyBorder="1"/>
    <xf numFmtId="3" fontId="0" fillId="0" borderId="8" xfId="0" applyNumberFormat="1" applyBorder="1" applyAlignment="1">
      <alignment horizontal="right"/>
    </xf>
    <xf numFmtId="38" fontId="7" fillId="0" borderId="8" xfId="0" applyNumberFormat="1" applyFont="1" applyBorder="1" applyAlignment="1">
      <alignment horizontal="right"/>
    </xf>
    <xf numFmtId="38" fontId="7" fillId="0" borderId="8" xfId="12" applyNumberFormat="1" applyFont="1" applyBorder="1" applyAlignment="1">
      <alignment horizontal="right"/>
    </xf>
    <xf numFmtId="38" fontId="0" fillId="0" borderId="8" xfId="12" applyNumberFormat="1" applyFont="1" applyBorder="1" applyAlignment="1">
      <alignment horizontal="right"/>
    </xf>
    <xf numFmtId="38" fontId="7" fillId="0" borderId="7" xfId="0" applyNumberFormat="1" applyFont="1" applyBorder="1" applyAlignment="1">
      <alignment horizontal="right"/>
    </xf>
    <xf numFmtId="167" fontId="7" fillId="0" borderId="0" xfId="12" applyFont="1" applyFill="1"/>
    <xf numFmtId="167" fontId="7" fillId="0" borderId="0" xfId="12" applyFont="1" applyFill="1" applyAlignment="1">
      <alignment horizontal="center"/>
    </xf>
    <xf numFmtId="38" fontId="7" fillId="0" borderId="8" xfId="12" applyNumberFormat="1" applyFont="1" applyFill="1" applyBorder="1" applyAlignment="1">
      <alignment horizontal="right"/>
    </xf>
    <xf numFmtId="164" fontId="7" fillId="0" borderId="0" xfId="12" applyNumberFormat="1" applyFont="1" applyFill="1" applyAlignment="1">
      <alignment horizontal="left"/>
    </xf>
    <xf numFmtId="164" fontId="0" fillId="0" borderId="0" xfId="12" applyNumberFormat="1" applyFont="1" applyFill="1" applyAlignment="1">
      <alignment horizontal="left"/>
    </xf>
    <xf numFmtId="0" fontId="0" fillId="0" borderId="0" xfId="0" applyFill="1"/>
    <xf numFmtId="0" fontId="7" fillId="0" borderId="0" xfId="0" applyFont="1" applyFill="1"/>
    <xf numFmtId="0" fontId="6" fillId="0" borderId="1" xfId="0" applyFont="1" applyBorder="1" applyAlignment="1">
      <alignment horizontal="left"/>
    </xf>
    <xf numFmtId="1" fontId="0" fillId="0" borderId="8" xfId="12" applyNumberFormat="1" applyFont="1" applyFill="1" applyBorder="1" applyAlignment="1">
      <alignment horizontal="right"/>
    </xf>
    <xf numFmtId="166" fontId="7" fillId="0" borderId="8" xfId="3" applyNumberFormat="1" applyFill="1" applyBorder="1" applyAlignment="1">
      <alignment horizontal="right"/>
    </xf>
    <xf numFmtId="0" fontId="10" fillId="0" borderId="0" xfId="3" applyFont="1" applyAlignment="1">
      <alignment horizontal="center"/>
    </xf>
    <xf numFmtId="168" fontId="13" fillId="0" borderId="7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10" fillId="0" borderId="0" xfId="3" applyFont="1" applyAlignment="1">
      <alignment horizontal="center"/>
    </xf>
    <xf numFmtId="0" fontId="0" fillId="0" borderId="1" xfId="0" applyFill="1" applyBorder="1" applyAlignment="1">
      <alignment horizontal="left"/>
    </xf>
    <xf numFmtId="3" fontId="0" fillId="0" borderId="8" xfId="0" applyNumberFormat="1" applyFill="1" applyBorder="1" applyAlignment="1">
      <alignment horizontal="right"/>
    </xf>
    <xf numFmtId="0" fontId="10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49" fontId="0" fillId="0" borderId="1" xfId="240" applyNumberFormat="1" applyFont="1" applyBorder="1" applyAlignment="1">
      <alignment horizontal="left"/>
    </xf>
    <xf numFmtId="1" fontId="22" fillId="0" borderId="8" xfId="12" applyNumberFormat="1" applyFont="1" applyFill="1" applyBorder="1" applyAlignment="1">
      <alignment horizontal="right"/>
    </xf>
    <xf numFmtId="0" fontId="15" fillId="0" borderId="2" xfId="3" applyFont="1" applyBorder="1" applyAlignment="1">
      <alignment horizontal="center"/>
    </xf>
    <xf numFmtId="0" fontId="15" fillId="0" borderId="3" xfId="3" applyFont="1" applyBorder="1" applyAlignment="1">
      <alignment horizontal="center"/>
    </xf>
    <xf numFmtId="0" fontId="15" fillId="0" borderId="4" xfId="3" applyFont="1" applyBorder="1" applyAlignment="1">
      <alignment horizontal="center"/>
    </xf>
    <xf numFmtId="0" fontId="7" fillId="0" borderId="1" xfId="3" applyBorder="1" applyAlignment="1">
      <alignment horizontal="center"/>
    </xf>
    <xf numFmtId="0" fontId="7" fillId="0" borderId="0" xfId="3" applyAlignment="1">
      <alignment horizontal="center"/>
    </xf>
    <xf numFmtId="0" fontId="7" fillId="0" borderId="8" xfId="3" applyBorder="1" applyAlignment="1">
      <alignment horizontal="center"/>
    </xf>
    <xf numFmtId="0" fontId="10" fillId="0" borderId="1" xfId="3" applyFont="1" applyBorder="1" applyAlignment="1">
      <alignment horizontal="center"/>
    </xf>
    <xf numFmtId="0" fontId="10" fillId="0" borderId="0" xfId="3" applyFont="1" applyAlignment="1">
      <alignment horizontal="center"/>
    </xf>
    <xf numFmtId="0" fontId="10" fillId="0" borderId="8" xfId="3" applyFont="1" applyBorder="1" applyAlignment="1">
      <alignment horizontal="center"/>
    </xf>
    <xf numFmtId="0" fontId="6" fillId="0" borderId="2" xfId="0" applyFont="1" applyBorder="1" applyAlignment="1"/>
    <xf numFmtId="0" fontId="6" fillId="0" borderId="3" xfId="0" applyFont="1" applyBorder="1" applyAlignment="1"/>
    <xf numFmtId="0" fontId="6" fillId="0" borderId="1" xfId="0" applyFont="1" applyFill="1" applyBorder="1" applyAlignment="1">
      <alignment horizontal="left"/>
    </xf>
    <xf numFmtId="49" fontId="6" fillId="0" borderId="1" xfId="240" applyNumberFormat="1" applyFont="1" applyFill="1" applyBorder="1" applyAlignment="1">
      <alignment horizontal="left"/>
    </xf>
    <xf numFmtId="167" fontId="0" fillId="0" borderId="0" xfId="12" applyFont="1" applyFill="1"/>
    <xf numFmtId="49" fontId="7" fillId="0" borderId="1" xfId="240" applyNumberFormat="1" applyFill="1" applyBorder="1" applyAlignment="1">
      <alignment horizontal="left"/>
    </xf>
  </cellXfs>
  <cellStyles count="485">
    <cellStyle name="Hyperlink 2" xfId="481" xr:uid="{00000000-0005-0000-0000-000000000000}"/>
    <cellStyle name="Normal" xfId="0" builtinId="0"/>
    <cellStyle name="Normal 10" xfId="45" xr:uid="{00000000-0005-0000-0000-000001000000}"/>
    <cellStyle name="Normal 10 2" xfId="78" xr:uid="{00000000-0005-0000-0000-000002000000}"/>
    <cellStyle name="Normal 10 2 2" xfId="158" xr:uid="{00000000-0005-0000-0000-000003000000}"/>
    <cellStyle name="Normal 10 2 3" xfId="283" xr:uid="{00000000-0005-0000-0000-000004000000}"/>
    <cellStyle name="Normal 10 2 4" xfId="403" xr:uid="{00000000-0005-0000-0000-000005000000}"/>
    <cellStyle name="Normal 10 3" xfId="202" xr:uid="{00000000-0005-0000-0000-000006000000}"/>
    <cellStyle name="Normal 10 3 2" xfId="323" xr:uid="{00000000-0005-0000-0000-000007000000}"/>
    <cellStyle name="Normal 10 3 3" xfId="443" xr:uid="{00000000-0005-0000-0000-000008000000}"/>
    <cellStyle name="Normal 10 4" xfId="112" xr:uid="{00000000-0005-0000-0000-000009000000}"/>
    <cellStyle name="Normal 10 5" xfId="249" xr:uid="{00000000-0005-0000-0000-00000A000000}"/>
    <cellStyle name="Normal 10 6" xfId="369" xr:uid="{00000000-0005-0000-0000-00000B000000}"/>
    <cellStyle name="Normal 11" xfId="48" xr:uid="{00000000-0005-0000-0000-00000C000000}"/>
    <cellStyle name="Normal 11 2" xfId="80" xr:uid="{00000000-0005-0000-0000-00000D000000}"/>
    <cellStyle name="Normal 11 2 2" xfId="159" xr:uid="{00000000-0005-0000-0000-00000E000000}"/>
    <cellStyle name="Normal 11 2 3" xfId="284" xr:uid="{00000000-0005-0000-0000-00000F000000}"/>
    <cellStyle name="Normal 11 2 4" xfId="404" xr:uid="{00000000-0005-0000-0000-000010000000}"/>
    <cellStyle name="Normal 11 3" xfId="203" xr:uid="{00000000-0005-0000-0000-000011000000}"/>
    <cellStyle name="Normal 11 3 2" xfId="324" xr:uid="{00000000-0005-0000-0000-000012000000}"/>
    <cellStyle name="Normal 11 3 3" xfId="444" xr:uid="{00000000-0005-0000-0000-000013000000}"/>
    <cellStyle name="Normal 11 4" xfId="114" xr:uid="{00000000-0005-0000-0000-000014000000}"/>
    <cellStyle name="Normal 11 5" xfId="251" xr:uid="{00000000-0005-0000-0000-000015000000}"/>
    <cellStyle name="Normal 11 6" xfId="371" xr:uid="{00000000-0005-0000-0000-000016000000}"/>
    <cellStyle name="Normal 12" xfId="40" xr:uid="{00000000-0005-0000-0000-000017000000}"/>
    <cellStyle name="Normal 12 2" xfId="89" xr:uid="{00000000-0005-0000-0000-000018000000}"/>
    <cellStyle name="Normal 12 2 2" xfId="160" xr:uid="{00000000-0005-0000-0000-000019000000}"/>
    <cellStyle name="Normal 12 2 3" xfId="285" xr:uid="{00000000-0005-0000-0000-00001A000000}"/>
    <cellStyle name="Normal 12 2 4" xfId="405" xr:uid="{00000000-0005-0000-0000-00001B000000}"/>
    <cellStyle name="Normal 12 3" xfId="204" xr:uid="{00000000-0005-0000-0000-00001C000000}"/>
    <cellStyle name="Normal 12 3 2" xfId="325" xr:uid="{00000000-0005-0000-0000-00001D000000}"/>
    <cellStyle name="Normal 12 3 3" xfId="445" xr:uid="{00000000-0005-0000-0000-00001E000000}"/>
    <cellStyle name="Normal 12 4" xfId="123" xr:uid="{00000000-0005-0000-0000-00001F000000}"/>
    <cellStyle name="Normal 12 5" xfId="260" xr:uid="{00000000-0005-0000-0000-000020000000}"/>
    <cellStyle name="Normal 12 6" xfId="380" xr:uid="{00000000-0005-0000-0000-000021000000}"/>
    <cellStyle name="Normal 13" xfId="56" xr:uid="{00000000-0005-0000-0000-000022000000}"/>
    <cellStyle name="Normal 13 2" xfId="79" xr:uid="{00000000-0005-0000-0000-000023000000}"/>
    <cellStyle name="Normal 13 2 2" xfId="161" xr:uid="{00000000-0005-0000-0000-000024000000}"/>
    <cellStyle name="Normal 13 2 3" xfId="286" xr:uid="{00000000-0005-0000-0000-000025000000}"/>
    <cellStyle name="Normal 13 2 4" xfId="406" xr:uid="{00000000-0005-0000-0000-000026000000}"/>
    <cellStyle name="Normal 13 3" xfId="205" xr:uid="{00000000-0005-0000-0000-000027000000}"/>
    <cellStyle name="Normal 13 3 2" xfId="326" xr:uid="{00000000-0005-0000-0000-000028000000}"/>
    <cellStyle name="Normal 13 3 3" xfId="446" xr:uid="{00000000-0005-0000-0000-000029000000}"/>
    <cellStyle name="Normal 13 4" xfId="113" xr:uid="{00000000-0005-0000-0000-00002A000000}"/>
    <cellStyle name="Normal 13 5" xfId="250" xr:uid="{00000000-0005-0000-0000-00002B000000}"/>
    <cellStyle name="Normal 13 6" xfId="370" xr:uid="{00000000-0005-0000-0000-00002C000000}"/>
    <cellStyle name="Normal 14" xfId="43" xr:uid="{00000000-0005-0000-0000-00002D000000}"/>
    <cellStyle name="Normal 14 2" xfId="83" xr:uid="{00000000-0005-0000-0000-00002E000000}"/>
    <cellStyle name="Normal 14 2 2" xfId="162" xr:uid="{00000000-0005-0000-0000-00002F000000}"/>
    <cellStyle name="Normal 14 2 3" xfId="287" xr:uid="{00000000-0005-0000-0000-000030000000}"/>
    <cellStyle name="Normal 14 2 4" xfId="407" xr:uid="{00000000-0005-0000-0000-000031000000}"/>
    <cellStyle name="Normal 14 3" xfId="206" xr:uid="{00000000-0005-0000-0000-000032000000}"/>
    <cellStyle name="Normal 14 3 2" xfId="327" xr:uid="{00000000-0005-0000-0000-000033000000}"/>
    <cellStyle name="Normal 14 3 3" xfId="447" xr:uid="{00000000-0005-0000-0000-000034000000}"/>
    <cellStyle name="Normal 14 4" xfId="117" xr:uid="{00000000-0005-0000-0000-000035000000}"/>
    <cellStyle name="Normal 14 5" xfId="254" xr:uid="{00000000-0005-0000-0000-000036000000}"/>
    <cellStyle name="Normal 14 6" xfId="374" xr:uid="{00000000-0005-0000-0000-000037000000}"/>
    <cellStyle name="Normal 15" xfId="57" xr:uid="{00000000-0005-0000-0000-000038000000}"/>
    <cellStyle name="Normal 15 2" xfId="76" xr:uid="{00000000-0005-0000-0000-000039000000}"/>
    <cellStyle name="Normal 15 2 2" xfId="163" xr:uid="{00000000-0005-0000-0000-00003A000000}"/>
    <cellStyle name="Normal 15 2 3" xfId="288" xr:uid="{00000000-0005-0000-0000-00003B000000}"/>
    <cellStyle name="Normal 15 2 4" xfId="408" xr:uid="{00000000-0005-0000-0000-00003C000000}"/>
    <cellStyle name="Normal 15 3" xfId="207" xr:uid="{00000000-0005-0000-0000-00003D000000}"/>
    <cellStyle name="Normal 15 3 2" xfId="328" xr:uid="{00000000-0005-0000-0000-00003E000000}"/>
    <cellStyle name="Normal 15 3 3" xfId="448" xr:uid="{00000000-0005-0000-0000-00003F000000}"/>
    <cellStyle name="Normal 15 4" xfId="110" xr:uid="{00000000-0005-0000-0000-000040000000}"/>
    <cellStyle name="Normal 15 5" xfId="247" xr:uid="{00000000-0005-0000-0000-000041000000}"/>
    <cellStyle name="Normal 15 6" xfId="367" xr:uid="{00000000-0005-0000-0000-000042000000}"/>
    <cellStyle name="Normal 16" xfId="41" xr:uid="{00000000-0005-0000-0000-000043000000}"/>
    <cellStyle name="Normal 16 2" xfId="77" xr:uid="{00000000-0005-0000-0000-000044000000}"/>
    <cellStyle name="Normal 16 2 2" xfId="164" xr:uid="{00000000-0005-0000-0000-000045000000}"/>
    <cellStyle name="Normal 16 2 3" xfId="289" xr:uid="{00000000-0005-0000-0000-000046000000}"/>
    <cellStyle name="Normal 16 2 4" xfId="409" xr:uid="{00000000-0005-0000-0000-000047000000}"/>
    <cellStyle name="Normal 16 3" xfId="208" xr:uid="{00000000-0005-0000-0000-000048000000}"/>
    <cellStyle name="Normal 16 3 2" xfId="329" xr:uid="{00000000-0005-0000-0000-000049000000}"/>
    <cellStyle name="Normal 16 3 3" xfId="449" xr:uid="{00000000-0005-0000-0000-00004A000000}"/>
    <cellStyle name="Normal 16 4" xfId="111" xr:uid="{00000000-0005-0000-0000-00004B000000}"/>
    <cellStyle name="Normal 16 5" xfId="248" xr:uid="{00000000-0005-0000-0000-00004C000000}"/>
    <cellStyle name="Normal 16 6" xfId="368" xr:uid="{00000000-0005-0000-0000-00004D000000}"/>
    <cellStyle name="Normal 17" xfId="51" xr:uid="{00000000-0005-0000-0000-00004E000000}"/>
    <cellStyle name="Normal 17 2" xfId="86" xr:uid="{00000000-0005-0000-0000-00004F000000}"/>
    <cellStyle name="Normal 17 2 2" xfId="165" xr:uid="{00000000-0005-0000-0000-000050000000}"/>
    <cellStyle name="Normal 17 2 3" xfId="290" xr:uid="{00000000-0005-0000-0000-000051000000}"/>
    <cellStyle name="Normal 17 2 4" xfId="410" xr:uid="{00000000-0005-0000-0000-000052000000}"/>
    <cellStyle name="Normal 17 3" xfId="209" xr:uid="{00000000-0005-0000-0000-000053000000}"/>
    <cellStyle name="Normal 17 3 2" xfId="330" xr:uid="{00000000-0005-0000-0000-000054000000}"/>
    <cellStyle name="Normal 17 3 3" xfId="450" xr:uid="{00000000-0005-0000-0000-000055000000}"/>
    <cellStyle name="Normal 17 4" xfId="120" xr:uid="{00000000-0005-0000-0000-000056000000}"/>
    <cellStyle name="Normal 17 5" xfId="257" xr:uid="{00000000-0005-0000-0000-000057000000}"/>
    <cellStyle name="Normal 17 6" xfId="377" xr:uid="{00000000-0005-0000-0000-000058000000}"/>
    <cellStyle name="Normal 18" xfId="42" xr:uid="{00000000-0005-0000-0000-000059000000}"/>
    <cellStyle name="Normal 18 2" xfId="75" xr:uid="{00000000-0005-0000-0000-00005A000000}"/>
    <cellStyle name="Normal 18 2 2" xfId="166" xr:uid="{00000000-0005-0000-0000-00005B000000}"/>
    <cellStyle name="Normal 18 2 3" xfId="291" xr:uid="{00000000-0005-0000-0000-00005C000000}"/>
    <cellStyle name="Normal 18 2 4" xfId="411" xr:uid="{00000000-0005-0000-0000-00005D000000}"/>
    <cellStyle name="Normal 18 3" xfId="210" xr:uid="{00000000-0005-0000-0000-00005E000000}"/>
    <cellStyle name="Normal 18 3 2" xfId="331" xr:uid="{00000000-0005-0000-0000-00005F000000}"/>
    <cellStyle name="Normal 18 3 3" xfId="451" xr:uid="{00000000-0005-0000-0000-000060000000}"/>
    <cellStyle name="Normal 18 4" xfId="109" xr:uid="{00000000-0005-0000-0000-000061000000}"/>
    <cellStyle name="Normal 18 5" xfId="246" xr:uid="{00000000-0005-0000-0000-000062000000}"/>
    <cellStyle name="Normal 18 6" xfId="366" xr:uid="{00000000-0005-0000-0000-000063000000}"/>
    <cellStyle name="Normal 19" xfId="49" xr:uid="{00000000-0005-0000-0000-000064000000}"/>
    <cellStyle name="Normal 19 2" xfId="81" xr:uid="{00000000-0005-0000-0000-000065000000}"/>
    <cellStyle name="Normal 19 2 2" xfId="167" xr:uid="{00000000-0005-0000-0000-000066000000}"/>
    <cellStyle name="Normal 19 2 3" xfId="292" xr:uid="{00000000-0005-0000-0000-000067000000}"/>
    <cellStyle name="Normal 19 2 4" xfId="412" xr:uid="{00000000-0005-0000-0000-000068000000}"/>
    <cellStyle name="Normal 19 3" xfId="211" xr:uid="{00000000-0005-0000-0000-000069000000}"/>
    <cellStyle name="Normal 19 3 2" xfId="332" xr:uid="{00000000-0005-0000-0000-00006A000000}"/>
    <cellStyle name="Normal 19 3 3" xfId="452" xr:uid="{00000000-0005-0000-0000-00006B000000}"/>
    <cellStyle name="Normal 19 4" xfId="115" xr:uid="{00000000-0005-0000-0000-00006C000000}"/>
    <cellStyle name="Normal 19 5" xfId="252" xr:uid="{00000000-0005-0000-0000-00006D000000}"/>
    <cellStyle name="Normal 19 6" xfId="372" xr:uid="{00000000-0005-0000-0000-00006E000000}"/>
    <cellStyle name="Normal 2" xfId="3" xr:uid="{00000000-0005-0000-0000-00006F000000}"/>
    <cellStyle name="Normal 2 2" xfId="16" xr:uid="{00000000-0005-0000-0000-000070000000}"/>
    <cellStyle name="Normal 2 2 2" xfId="480" xr:uid="{00000000-0005-0000-0000-000071000000}"/>
    <cellStyle name="Normal 2 3" xfId="12" xr:uid="{00000000-0005-0000-0000-000072000000}"/>
    <cellStyle name="Normal 2 4" xfId="17" xr:uid="{00000000-0005-0000-0000-000073000000}"/>
    <cellStyle name="Normal 2 4 2" xfId="25" xr:uid="{00000000-0005-0000-0000-000074000000}"/>
    <cellStyle name="Normal 2 4 3" xfId="168" xr:uid="{00000000-0005-0000-0000-000075000000}"/>
    <cellStyle name="Normal 2 4 4" xfId="144" xr:uid="{00000000-0005-0000-0000-000076000000}"/>
    <cellStyle name="Normal 2 5" xfId="146" xr:uid="{00000000-0005-0000-0000-000077000000}"/>
    <cellStyle name="Normal 2 6" xfId="482" xr:uid="{00000000-0005-0000-0000-000078000000}"/>
    <cellStyle name="Normal 20" xfId="58" xr:uid="{00000000-0005-0000-0000-000079000000}"/>
    <cellStyle name="Normal 20 2" xfId="92" xr:uid="{00000000-0005-0000-0000-00007A000000}"/>
    <cellStyle name="Normal 20 2 2" xfId="169" xr:uid="{00000000-0005-0000-0000-00007B000000}"/>
    <cellStyle name="Normal 20 2 3" xfId="293" xr:uid="{00000000-0005-0000-0000-00007C000000}"/>
    <cellStyle name="Normal 20 2 4" xfId="413" xr:uid="{00000000-0005-0000-0000-00007D000000}"/>
    <cellStyle name="Normal 20 3" xfId="212" xr:uid="{00000000-0005-0000-0000-00007E000000}"/>
    <cellStyle name="Normal 20 3 2" xfId="333" xr:uid="{00000000-0005-0000-0000-00007F000000}"/>
    <cellStyle name="Normal 20 3 3" xfId="453" xr:uid="{00000000-0005-0000-0000-000080000000}"/>
    <cellStyle name="Normal 20 4" xfId="126" xr:uid="{00000000-0005-0000-0000-000081000000}"/>
    <cellStyle name="Normal 20 5" xfId="263" xr:uid="{00000000-0005-0000-0000-000082000000}"/>
    <cellStyle name="Normal 20 6" xfId="383" xr:uid="{00000000-0005-0000-0000-000083000000}"/>
    <cellStyle name="Normal 21" xfId="53" xr:uid="{00000000-0005-0000-0000-000084000000}"/>
    <cellStyle name="Normal 21 2" xfId="90" xr:uid="{00000000-0005-0000-0000-000085000000}"/>
    <cellStyle name="Normal 21 2 2" xfId="170" xr:uid="{00000000-0005-0000-0000-000086000000}"/>
    <cellStyle name="Normal 21 2 3" xfId="294" xr:uid="{00000000-0005-0000-0000-000087000000}"/>
    <cellStyle name="Normal 21 2 4" xfId="414" xr:uid="{00000000-0005-0000-0000-000088000000}"/>
    <cellStyle name="Normal 21 3" xfId="213" xr:uid="{00000000-0005-0000-0000-000089000000}"/>
    <cellStyle name="Normal 21 3 2" xfId="334" xr:uid="{00000000-0005-0000-0000-00008A000000}"/>
    <cellStyle name="Normal 21 3 3" xfId="454" xr:uid="{00000000-0005-0000-0000-00008B000000}"/>
    <cellStyle name="Normal 21 4" xfId="124" xr:uid="{00000000-0005-0000-0000-00008C000000}"/>
    <cellStyle name="Normal 21 5" xfId="261" xr:uid="{00000000-0005-0000-0000-00008D000000}"/>
    <cellStyle name="Normal 21 6" xfId="381" xr:uid="{00000000-0005-0000-0000-00008E000000}"/>
    <cellStyle name="Normal 22" xfId="55" xr:uid="{00000000-0005-0000-0000-00008F000000}"/>
    <cellStyle name="Normal 22 2" xfId="85" xr:uid="{00000000-0005-0000-0000-000090000000}"/>
    <cellStyle name="Normal 22 2 2" xfId="171" xr:uid="{00000000-0005-0000-0000-000091000000}"/>
    <cellStyle name="Normal 22 2 3" xfId="295" xr:uid="{00000000-0005-0000-0000-000092000000}"/>
    <cellStyle name="Normal 22 2 4" xfId="415" xr:uid="{00000000-0005-0000-0000-000093000000}"/>
    <cellStyle name="Normal 22 3" xfId="214" xr:uid="{00000000-0005-0000-0000-000094000000}"/>
    <cellStyle name="Normal 22 3 2" xfId="335" xr:uid="{00000000-0005-0000-0000-000095000000}"/>
    <cellStyle name="Normal 22 3 3" xfId="455" xr:uid="{00000000-0005-0000-0000-000096000000}"/>
    <cellStyle name="Normal 22 4" xfId="119" xr:uid="{00000000-0005-0000-0000-000097000000}"/>
    <cellStyle name="Normal 22 5" xfId="256" xr:uid="{00000000-0005-0000-0000-000098000000}"/>
    <cellStyle name="Normal 22 6" xfId="376" xr:uid="{00000000-0005-0000-0000-000099000000}"/>
    <cellStyle name="Normal 23" xfId="61" xr:uid="{00000000-0005-0000-0000-00009A000000}"/>
    <cellStyle name="Normal 23 2" xfId="95" xr:uid="{00000000-0005-0000-0000-00009B000000}"/>
    <cellStyle name="Normal 23 2 2" xfId="172" xr:uid="{00000000-0005-0000-0000-00009C000000}"/>
    <cellStyle name="Normal 23 2 3" xfId="296" xr:uid="{00000000-0005-0000-0000-00009D000000}"/>
    <cellStyle name="Normal 23 2 4" xfId="416" xr:uid="{00000000-0005-0000-0000-00009E000000}"/>
    <cellStyle name="Normal 23 3" xfId="215" xr:uid="{00000000-0005-0000-0000-00009F000000}"/>
    <cellStyle name="Normal 23 3 2" xfId="336" xr:uid="{00000000-0005-0000-0000-0000A0000000}"/>
    <cellStyle name="Normal 23 3 3" xfId="456" xr:uid="{00000000-0005-0000-0000-0000A1000000}"/>
    <cellStyle name="Normal 23 4" xfId="129" xr:uid="{00000000-0005-0000-0000-0000A2000000}"/>
    <cellStyle name="Normal 23 5" xfId="266" xr:uid="{00000000-0005-0000-0000-0000A3000000}"/>
    <cellStyle name="Normal 23 6" xfId="386" xr:uid="{00000000-0005-0000-0000-0000A4000000}"/>
    <cellStyle name="Normal 24" xfId="59" xr:uid="{00000000-0005-0000-0000-0000A5000000}"/>
    <cellStyle name="Normal 24 2" xfId="93" xr:uid="{00000000-0005-0000-0000-0000A6000000}"/>
    <cellStyle name="Normal 24 2 2" xfId="173" xr:uid="{00000000-0005-0000-0000-0000A7000000}"/>
    <cellStyle name="Normal 24 2 3" xfId="297" xr:uid="{00000000-0005-0000-0000-0000A8000000}"/>
    <cellStyle name="Normal 24 2 4" xfId="417" xr:uid="{00000000-0005-0000-0000-0000A9000000}"/>
    <cellStyle name="Normal 24 3" xfId="216" xr:uid="{00000000-0005-0000-0000-0000AA000000}"/>
    <cellStyle name="Normal 24 3 2" xfId="337" xr:uid="{00000000-0005-0000-0000-0000AB000000}"/>
    <cellStyle name="Normal 24 3 3" xfId="457" xr:uid="{00000000-0005-0000-0000-0000AC000000}"/>
    <cellStyle name="Normal 24 4" xfId="127" xr:uid="{00000000-0005-0000-0000-0000AD000000}"/>
    <cellStyle name="Normal 24 5" xfId="264" xr:uid="{00000000-0005-0000-0000-0000AE000000}"/>
    <cellStyle name="Normal 24 6" xfId="384" xr:uid="{00000000-0005-0000-0000-0000AF000000}"/>
    <cellStyle name="Normal 25" xfId="54" xr:uid="{00000000-0005-0000-0000-0000B0000000}"/>
    <cellStyle name="Normal 25 2" xfId="87" xr:uid="{00000000-0005-0000-0000-0000B1000000}"/>
    <cellStyle name="Normal 25 2 2" xfId="174" xr:uid="{00000000-0005-0000-0000-0000B2000000}"/>
    <cellStyle name="Normal 25 2 3" xfId="298" xr:uid="{00000000-0005-0000-0000-0000B3000000}"/>
    <cellStyle name="Normal 25 2 4" xfId="418" xr:uid="{00000000-0005-0000-0000-0000B4000000}"/>
    <cellStyle name="Normal 25 3" xfId="217" xr:uid="{00000000-0005-0000-0000-0000B5000000}"/>
    <cellStyle name="Normal 25 3 2" xfId="338" xr:uid="{00000000-0005-0000-0000-0000B6000000}"/>
    <cellStyle name="Normal 25 3 3" xfId="458" xr:uid="{00000000-0005-0000-0000-0000B7000000}"/>
    <cellStyle name="Normal 25 4" xfId="121" xr:uid="{00000000-0005-0000-0000-0000B8000000}"/>
    <cellStyle name="Normal 25 5" xfId="258" xr:uid="{00000000-0005-0000-0000-0000B9000000}"/>
    <cellStyle name="Normal 25 6" xfId="378" xr:uid="{00000000-0005-0000-0000-0000BA000000}"/>
    <cellStyle name="Normal 26" xfId="66" xr:uid="{00000000-0005-0000-0000-0000BB000000}"/>
    <cellStyle name="Normal 26 2" xfId="100" xr:uid="{00000000-0005-0000-0000-0000BC000000}"/>
    <cellStyle name="Normal 26 2 2" xfId="175" xr:uid="{00000000-0005-0000-0000-0000BD000000}"/>
    <cellStyle name="Normal 26 2 3" xfId="299" xr:uid="{00000000-0005-0000-0000-0000BE000000}"/>
    <cellStyle name="Normal 26 2 4" xfId="419" xr:uid="{00000000-0005-0000-0000-0000BF000000}"/>
    <cellStyle name="Normal 26 3" xfId="218" xr:uid="{00000000-0005-0000-0000-0000C0000000}"/>
    <cellStyle name="Normal 26 3 2" xfId="339" xr:uid="{00000000-0005-0000-0000-0000C1000000}"/>
    <cellStyle name="Normal 26 3 3" xfId="459" xr:uid="{00000000-0005-0000-0000-0000C2000000}"/>
    <cellStyle name="Normal 26 4" xfId="134" xr:uid="{00000000-0005-0000-0000-0000C3000000}"/>
    <cellStyle name="Normal 26 5" xfId="271" xr:uid="{00000000-0005-0000-0000-0000C4000000}"/>
    <cellStyle name="Normal 26 6" xfId="391" xr:uid="{00000000-0005-0000-0000-0000C5000000}"/>
    <cellStyle name="Normal 27" xfId="50" xr:uid="{00000000-0005-0000-0000-0000C6000000}"/>
    <cellStyle name="Normal 27 2" xfId="88" xr:uid="{00000000-0005-0000-0000-0000C7000000}"/>
    <cellStyle name="Normal 27 2 2" xfId="176" xr:uid="{00000000-0005-0000-0000-0000C8000000}"/>
    <cellStyle name="Normal 27 2 3" xfId="300" xr:uid="{00000000-0005-0000-0000-0000C9000000}"/>
    <cellStyle name="Normal 27 2 4" xfId="420" xr:uid="{00000000-0005-0000-0000-0000CA000000}"/>
    <cellStyle name="Normal 27 3" xfId="219" xr:uid="{00000000-0005-0000-0000-0000CB000000}"/>
    <cellStyle name="Normal 27 3 2" xfId="340" xr:uid="{00000000-0005-0000-0000-0000CC000000}"/>
    <cellStyle name="Normal 27 3 3" xfId="460" xr:uid="{00000000-0005-0000-0000-0000CD000000}"/>
    <cellStyle name="Normal 27 4" xfId="122" xr:uid="{00000000-0005-0000-0000-0000CE000000}"/>
    <cellStyle name="Normal 27 5" xfId="259" xr:uid="{00000000-0005-0000-0000-0000CF000000}"/>
    <cellStyle name="Normal 27 6" xfId="379" xr:uid="{00000000-0005-0000-0000-0000D0000000}"/>
    <cellStyle name="Normal 28" xfId="63" xr:uid="{00000000-0005-0000-0000-0000D1000000}"/>
    <cellStyle name="Normal 28 2" xfId="97" xr:uid="{00000000-0005-0000-0000-0000D2000000}"/>
    <cellStyle name="Normal 28 2 2" xfId="177" xr:uid="{00000000-0005-0000-0000-0000D3000000}"/>
    <cellStyle name="Normal 28 2 3" xfId="301" xr:uid="{00000000-0005-0000-0000-0000D4000000}"/>
    <cellStyle name="Normal 28 2 4" xfId="421" xr:uid="{00000000-0005-0000-0000-0000D5000000}"/>
    <cellStyle name="Normal 28 3" xfId="220" xr:uid="{00000000-0005-0000-0000-0000D6000000}"/>
    <cellStyle name="Normal 28 3 2" xfId="341" xr:uid="{00000000-0005-0000-0000-0000D7000000}"/>
    <cellStyle name="Normal 28 3 3" xfId="461" xr:uid="{00000000-0005-0000-0000-0000D8000000}"/>
    <cellStyle name="Normal 28 4" xfId="131" xr:uid="{00000000-0005-0000-0000-0000D9000000}"/>
    <cellStyle name="Normal 28 5" xfId="268" xr:uid="{00000000-0005-0000-0000-0000DA000000}"/>
    <cellStyle name="Normal 28 6" xfId="388" xr:uid="{00000000-0005-0000-0000-0000DB000000}"/>
    <cellStyle name="Normal 29" xfId="65" xr:uid="{00000000-0005-0000-0000-0000DC000000}"/>
    <cellStyle name="Normal 29 2" xfId="99" xr:uid="{00000000-0005-0000-0000-0000DD000000}"/>
    <cellStyle name="Normal 29 2 2" xfId="178" xr:uid="{00000000-0005-0000-0000-0000DE000000}"/>
    <cellStyle name="Normal 29 2 3" xfId="302" xr:uid="{00000000-0005-0000-0000-0000DF000000}"/>
    <cellStyle name="Normal 29 2 4" xfId="422" xr:uid="{00000000-0005-0000-0000-0000E0000000}"/>
    <cellStyle name="Normal 29 3" xfId="221" xr:uid="{00000000-0005-0000-0000-0000E1000000}"/>
    <cellStyle name="Normal 29 3 2" xfId="342" xr:uid="{00000000-0005-0000-0000-0000E2000000}"/>
    <cellStyle name="Normal 29 3 3" xfId="462" xr:uid="{00000000-0005-0000-0000-0000E3000000}"/>
    <cellStyle name="Normal 29 4" xfId="133" xr:uid="{00000000-0005-0000-0000-0000E4000000}"/>
    <cellStyle name="Normal 29 5" xfId="270" xr:uid="{00000000-0005-0000-0000-0000E5000000}"/>
    <cellStyle name="Normal 29 6" xfId="390" xr:uid="{00000000-0005-0000-0000-0000E6000000}"/>
    <cellStyle name="Normal 3" xfId="5" xr:uid="{00000000-0005-0000-0000-0000E7000000}"/>
    <cellStyle name="Normal 3 2" xfId="13" xr:uid="{00000000-0005-0000-0000-0000E8000000}"/>
    <cellStyle name="Normal 3 3" xfId="27" xr:uid="{00000000-0005-0000-0000-0000E9000000}"/>
    <cellStyle name="Normal 3 4" xfId="147" xr:uid="{00000000-0005-0000-0000-0000EA000000}"/>
    <cellStyle name="Normal 30" xfId="39" xr:uid="{00000000-0005-0000-0000-0000EB000000}"/>
    <cellStyle name="Normal 30 2" xfId="82" xr:uid="{00000000-0005-0000-0000-0000EC000000}"/>
    <cellStyle name="Normal 30 2 2" xfId="179" xr:uid="{00000000-0005-0000-0000-0000ED000000}"/>
    <cellStyle name="Normal 30 2 3" xfId="303" xr:uid="{00000000-0005-0000-0000-0000EE000000}"/>
    <cellStyle name="Normal 30 2 4" xfId="423" xr:uid="{00000000-0005-0000-0000-0000EF000000}"/>
    <cellStyle name="Normal 30 3" xfId="222" xr:uid="{00000000-0005-0000-0000-0000F0000000}"/>
    <cellStyle name="Normal 30 3 2" xfId="343" xr:uid="{00000000-0005-0000-0000-0000F1000000}"/>
    <cellStyle name="Normal 30 3 3" xfId="463" xr:uid="{00000000-0005-0000-0000-0000F2000000}"/>
    <cellStyle name="Normal 30 4" xfId="116" xr:uid="{00000000-0005-0000-0000-0000F3000000}"/>
    <cellStyle name="Normal 30 5" xfId="253" xr:uid="{00000000-0005-0000-0000-0000F4000000}"/>
    <cellStyle name="Normal 30 6" xfId="373" xr:uid="{00000000-0005-0000-0000-0000F5000000}"/>
    <cellStyle name="Normal 31" xfId="44" xr:uid="{00000000-0005-0000-0000-0000F6000000}"/>
    <cellStyle name="Normal 31 2" xfId="91" xr:uid="{00000000-0005-0000-0000-0000F7000000}"/>
    <cellStyle name="Normal 31 2 2" xfId="180" xr:uid="{00000000-0005-0000-0000-0000F8000000}"/>
    <cellStyle name="Normal 31 2 3" xfId="304" xr:uid="{00000000-0005-0000-0000-0000F9000000}"/>
    <cellStyle name="Normal 31 2 4" xfId="424" xr:uid="{00000000-0005-0000-0000-0000FA000000}"/>
    <cellStyle name="Normal 31 3" xfId="223" xr:uid="{00000000-0005-0000-0000-0000FB000000}"/>
    <cellStyle name="Normal 31 3 2" xfId="344" xr:uid="{00000000-0005-0000-0000-0000FC000000}"/>
    <cellStyle name="Normal 31 3 3" xfId="464" xr:uid="{00000000-0005-0000-0000-0000FD000000}"/>
    <cellStyle name="Normal 31 4" xfId="125" xr:uid="{00000000-0005-0000-0000-0000FE000000}"/>
    <cellStyle name="Normal 31 5" xfId="262" xr:uid="{00000000-0005-0000-0000-0000FF000000}"/>
    <cellStyle name="Normal 31 6" xfId="382" xr:uid="{00000000-0005-0000-0000-000000010000}"/>
    <cellStyle name="Normal 32" xfId="64" xr:uid="{00000000-0005-0000-0000-000001010000}"/>
    <cellStyle name="Normal 32 2" xfId="98" xr:uid="{00000000-0005-0000-0000-000002010000}"/>
    <cellStyle name="Normal 32 2 2" xfId="181" xr:uid="{00000000-0005-0000-0000-000003010000}"/>
    <cellStyle name="Normal 32 2 3" xfId="305" xr:uid="{00000000-0005-0000-0000-000004010000}"/>
    <cellStyle name="Normal 32 2 4" xfId="425" xr:uid="{00000000-0005-0000-0000-000005010000}"/>
    <cellStyle name="Normal 32 3" xfId="224" xr:uid="{00000000-0005-0000-0000-000006010000}"/>
    <cellStyle name="Normal 32 3 2" xfId="345" xr:uid="{00000000-0005-0000-0000-000007010000}"/>
    <cellStyle name="Normal 32 3 3" xfId="465" xr:uid="{00000000-0005-0000-0000-000008010000}"/>
    <cellStyle name="Normal 32 4" xfId="132" xr:uid="{00000000-0005-0000-0000-000009010000}"/>
    <cellStyle name="Normal 32 5" xfId="269" xr:uid="{00000000-0005-0000-0000-00000A010000}"/>
    <cellStyle name="Normal 32 6" xfId="389" xr:uid="{00000000-0005-0000-0000-00000B010000}"/>
    <cellStyle name="Normal 33" xfId="67" xr:uid="{00000000-0005-0000-0000-00000C010000}"/>
    <cellStyle name="Normal 33 2" xfId="101" xr:uid="{00000000-0005-0000-0000-00000D010000}"/>
    <cellStyle name="Normal 33 2 2" xfId="182" xr:uid="{00000000-0005-0000-0000-00000E010000}"/>
    <cellStyle name="Normal 33 2 3" xfId="306" xr:uid="{00000000-0005-0000-0000-00000F010000}"/>
    <cellStyle name="Normal 33 2 4" xfId="426" xr:uid="{00000000-0005-0000-0000-000010010000}"/>
    <cellStyle name="Normal 33 3" xfId="225" xr:uid="{00000000-0005-0000-0000-000011010000}"/>
    <cellStyle name="Normal 33 3 2" xfId="346" xr:uid="{00000000-0005-0000-0000-000012010000}"/>
    <cellStyle name="Normal 33 3 3" xfId="466" xr:uid="{00000000-0005-0000-0000-000013010000}"/>
    <cellStyle name="Normal 33 4" xfId="135" xr:uid="{00000000-0005-0000-0000-000014010000}"/>
    <cellStyle name="Normal 33 5" xfId="272" xr:uid="{00000000-0005-0000-0000-000015010000}"/>
    <cellStyle name="Normal 33 6" xfId="392" xr:uid="{00000000-0005-0000-0000-000016010000}"/>
    <cellStyle name="Normal 34" xfId="46" xr:uid="{00000000-0005-0000-0000-000017010000}"/>
    <cellStyle name="Normal 34 2" xfId="84" xr:uid="{00000000-0005-0000-0000-000018010000}"/>
    <cellStyle name="Normal 34 2 2" xfId="183" xr:uid="{00000000-0005-0000-0000-000019010000}"/>
    <cellStyle name="Normal 34 2 3" xfId="307" xr:uid="{00000000-0005-0000-0000-00001A010000}"/>
    <cellStyle name="Normal 34 2 4" xfId="427" xr:uid="{00000000-0005-0000-0000-00001B010000}"/>
    <cellStyle name="Normal 34 3" xfId="226" xr:uid="{00000000-0005-0000-0000-00001C010000}"/>
    <cellStyle name="Normal 34 3 2" xfId="347" xr:uid="{00000000-0005-0000-0000-00001D010000}"/>
    <cellStyle name="Normal 34 3 3" xfId="467" xr:uid="{00000000-0005-0000-0000-00001E010000}"/>
    <cellStyle name="Normal 34 4" xfId="118" xr:uid="{00000000-0005-0000-0000-00001F010000}"/>
    <cellStyle name="Normal 34 5" xfId="255" xr:uid="{00000000-0005-0000-0000-000020010000}"/>
    <cellStyle name="Normal 34 6" xfId="375" xr:uid="{00000000-0005-0000-0000-000021010000}"/>
    <cellStyle name="Normal 35" xfId="60" xr:uid="{00000000-0005-0000-0000-000022010000}"/>
    <cellStyle name="Normal 35 2" xfId="94" xr:uid="{00000000-0005-0000-0000-000023010000}"/>
    <cellStyle name="Normal 35 2 2" xfId="184" xr:uid="{00000000-0005-0000-0000-000024010000}"/>
    <cellStyle name="Normal 35 2 3" xfId="308" xr:uid="{00000000-0005-0000-0000-000025010000}"/>
    <cellStyle name="Normal 35 2 4" xfId="428" xr:uid="{00000000-0005-0000-0000-000026010000}"/>
    <cellStyle name="Normal 35 3" xfId="227" xr:uid="{00000000-0005-0000-0000-000027010000}"/>
    <cellStyle name="Normal 35 3 2" xfId="348" xr:uid="{00000000-0005-0000-0000-000028010000}"/>
    <cellStyle name="Normal 35 3 3" xfId="468" xr:uid="{00000000-0005-0000-0000-000029010000}"/>
    <cellStyle name="Normal 35 4" xfId="128" xr:uid="{00000000-0005-0000-0000-00002A010000}"/>
    <cellStyle name="Normal 35 5" xfId="265" xr:uid="{00000000-0005-0000-0000-00002B010000}"/>
    <cellStyle name="Normal 35 6" xfId="385" xr:uid="{00000000-0005-0000-0000-00002C010000}"/>
    <cellStyle name="Normal 36" xfId="68" xr:uid="{00000000-0005-0000-0000-00002D010000}"/>
    <cellStyle name="Normal 36 2" xfId="102" xr:uid="{00000000-0005-0000-0000-00002E010000}"/>
    <cellStyle name="Normal 36 2 2" xfId="185" xr:uid="{00000000-0005-0000-0000-00002F010000}"/>
    <cellStyle name="Normal 36 2 3" xfId="309" xr:uid="{00000000-0005-0000-0000-000030010000}"/>
    <cellStyle name="Normal 36 2 4" xfId="429" xr:uid="{00000000-0005-0000-0000-000031010000}"/>
    <cellStyle name="Normal 36 3" xfId="228" xr:uid="{00000000-0005-0000-0000-000032010000}"/>
    <cellStyle name="Normal 36 3 2" xfId="349" xr:uid="{00000000-0005-0000-0000-000033010000}"/>
    <cellStyle name="Normal 36 3 3" xfId="469" xr:uid="{00000000-0005-0000-0000-000034010000}"/>
    <cellStyle name="Normal 36 4" xfId="136" xr:uid="{00000000-0005-0000-0000-000035010000}"/>
    <cellStyle name="Normal 36 5" xfId="273" xr:uid="{00000000-0005-0000-0000-000036010000}"/>
    <cellStyle name="Normal 36 6" xfId="393" xr:uid="{00000000-0005-0000-0000-000037010000}"/>
    <cellStyle name="Normal 37" xfId="62" xr:uid="{00000000-0005-0000-0000-000038010000}"/>
    <cellStyle name="Normal 37 2" xfId="96" xr:uid="{00000000-0005-0000-0000-000039010000}"/>
    <cellStyle name="Normal 37 2 2" xfId="186" xr:uid="{00000000-0005-0000-0000-00003A010000}"/>
    <cellStyle name="Normal 37 2 3" xfId="310" xr:uid="{00000000-0005-0000-0000-00003B010000}"/>
    <cellStyle name="Normal 37 2 4" xfId="430" xr:uid="{00000000-0005-0000-0000-00003C010000}"/>
    <cellStyle name="Normal 37 3" xfId="229" xr:uid="{00000000-0005-0000-0000-00003D010000}"/>
    <cellStyle name="Normal 37 3 2" xfId="350" xr:uid="{00000000-0005-0000-0000-00003E010000}"/>
    <cellStyle name="Normal 37 3 3" xfId="470" xr:uid="{00000000-0005-0000-0000-00003F010000}"/>
    <cellStyle name="Normal 37 4" xfId="130" xr:uid="{00000000-0005-0000-0000-000040010000}"/>
    <cellStyle name="Normal 37 5" xfId="267" xr:uid="{00000000-0005-0000-0000-000041010000}"/>
    <cellStyle name="Normal 37 6" xfId="387" xr:uid="{00000000-0005-0000-0000-000042010000}"/>
    <cellStyle name="Normal 38" xfId="52" xr:uid="{00000000-0005-0000-0000-000043010000}"/>
    <cellStyle name="Normal 38 2" xfId="72" xr:uid="{00000000-0005-0000-0000-000044010000}"/>
    <cellStyle name="Normal 38 2 2" xfId="187" xr:uid="{00000000-0005-0000-0000-000045010000}"/>
    <cellStyle name="Normal 38 2 3" xfId="311" xr:uid="{00000000-0005-0000-0000-000046010000}"/>
    <cellStyle name="Normal 38 2 4" xfId="431" xr:uid="{00000000-0005-0000-0000-000047010000}"/>
    <cellStyle name="Normal 38 3" xfId="230" xr:uid="{00000000-0005-0000-0000-000048010000}"/>
    <cellStyle name="Normal 38 3 2" xfId="351" xr:uid="{00000000-0005-0000-0000-000049010000}"/>
    <cellStyle name="Normal 38 3 3" xfId="471" xr:uid="{00000000-0005-0000-0000-00004A010000}"/>
    <cellStyle name="Normal 38 4" xfId="106" xr:uid="{00000000-0005-0000-0000-00004B010000}"/>
    <cellStyle name="Normal 38 5" xfId="243" xr:uid="{00000000-0005-0000-0000-00004C010000}"/>
    <cellStyle name="Normal 38 6" xfId="363" xr:uid="{00000000-0005-0000-0000-00004D010000}"/>
    <cellStyle name="Normal 39" xfId="69" xr:uid="{00000000-0005-0000-0000-00004E010000}"/>
    <cellStyle name="Normal 39 2" xfId="231" xr:uid="{00000000-0005-0000-0000-00004F010000}"/>
    <cellStyle name="Normal 39 2 2" xfId="352" xr:uid="{00000000-0005-0000-0000-000050010000}"/>
    <cellStyle name="Normal 39 2 3" xfId="472" xr:uid="{00000000-0005-0000-0000-000051010000}"/>
    <cellStyle name="Normal 39 3" xfId="154" xr:uid="{00000000-0005-0000-0000-000052010000}"/>
    <cellStyle name="Normal 39 4" xfId="279" xr:uid="{00000000-0005-0000-0000-000053010000}"/>
    <cellStyle name="Normal 39 5" xfId="399" xr:uid="{00000000-0005-0000-0000-000054010000}"/>
    <cellStyle name="Normal 4" xfId="6" xr:uid="{00000000-0005-0000-0000-000055010000}"/>
    <cellStyle name="Normal 4 2" xfId="7" xr:uid="{00000000-0005-0000-0000-000056010000}"/>
    <cellStyle name="Normal 4 2 2" xfId="19" xr:uid="{00000000-0005-0000-0000-000057010000}"/>
    <cellStyle name="Normal 4 2 3" xfId="139" xr:uid="{00000000-0005-0000-0000-000058010000}"/>
    <cellStyle name="Normal 4 3" xfId="14" xr:uid="{00000000-0005-0000-0000-000059010000}"/>
    <cellStyle name="Normal 4 3 2" xfId="28" xr:uid="{00000000-0005-0000-0000-00005A010000}"/>
    <cellStyle name="Normal 4 3 3" xfId="188" xr:uid="{00000000-0005-0000-0000-00005B010000}"/>
    <cellStyle name="Normal 4 3 4" xfId="143" xr:uid="{00000000-0005-0000-0000-00005C010000}"/>
    <cellStyle name="Normal 4 4" xfId="141" xr:uid="{00000000-0005-0000-0000-00005D010000}"/>
    <cellStyle name="Normal 4 4 2" xfId="148" xr:uid="{00000000-0005-0000-0000-00005E010000}"/>
    <cellStyle name="Normal 4 5" xfId="189" xr:uid="{00000000-0005-0000-0000-00005F010000}"/>
    <cellStyle name="Normal 4 6" xfId="137" xr:uid="{00000000-0005-0000-0000-000060010000}"/>
    <cellStyle name="Normal 40" xfId="103" xr:uid="{00000000-0005-0000-0000-000061010000}"/>
    <cellStyle name="Normal 40 2" xfId="483" xr:uid="{00000000-0005-0000-0000-000062010000}"/>
    <cellStyle name="Normal 41" xfId="239" xr:uid="{00000000-0005-0000-0000-000063010000}"/>
    <cellStyle name="Normal 42" xfId="360" xr:uid="{00000000-0005-0000-0000-000064010000}"/>
    <cellStyle name="Normal 5" xfId="8" xr:uid="{00000000-0005-0000-0000-000065010000}"/>
    <cellStyle name="Normal 5 2" xfId="9" xr:uid="{00000000-0005-0000-0000-000066010000}"/>
    <cellStyle name="Normal 5 2 2" xfId="30" xr:uid="{00000000-0005-0000-0000-000067010000}"/>
    <cellStyle name="Normal 5 2 3" xfId="140" xr:uid="{00000000-0005-0000-0000-000068010000}"/>
    <cellStyle name="Normal 5 3" xfId="10" xr:uid="{00000000-0005-0000-0000-000069010000}"/>
    <cellStyle name="Normal 5 3 2" xfId="20" xr:uid="{00000000-0005-0000-0000-00006A010000}"/>
    <cellStyle name="Normal 5 3 2 2" xfId="26" xr:uid="{00000000-0005-0000-0000-00006B010000}"/>
    <cellStyle name="Normal 5 3 3" xfId="149" xr:uid="{00000000-0005-0000-0000-00006C010000}"/>
    <cellStyle name="Normal 5 3 3 2" xfId="190" xr:uid="{00000000-0005-0000-0000-00006D010000}"/>
    <cellStyle name="Normal 5 3 4" xfId="142" xr:uid="{00000000-0005-0000-0000-00006E010000}"/>
    <cellStyle name="Normal 5 4" xfId="15" xr:uid="{00000000-0005-0000-0000-00006F010000}"/>
    <cellStyle name="Normal 5 5" xfId="138" xr:uid="{00000000-0005-0000-0000-000070010000}"/>
    <cellStyle name="Normal 6" xfId="11" xr:uid="{00000000-0005-0000-0000-000071010000}"/>
    <cellStyle name="Normal 6 2" xfId="21" xr:uid="{00000000-0005-0000-0000-000072010000}"/>
    <cellStyle name="Normal 6 3" xfId="29" xr:uid="{00000000-0005-0000-0000-000073010000}"/>
    <cellStyle name="Normal 6 3 2" xfId="37" xr:uid="{00000000-0005-0000-0000-000074010000}"/>
    <cellStyle name="Normal 6 3 2 2" xfId="233" xr:uid="{00000000-0005-0000-0000-000075010000}"/>
    <cellStyle name="Normal 6 3 2 2 2" xfId="354" xr:uid="{00000000-0005-0000-0000-000076010000}"/>
    <cellStyle name="Normal 6 3 2 2 3" xfId="474" xr:uid="{00000000-0005-0000-0000-000077010000}"/>
    <cellStyle name="Normal 6 3 2 3" xfId="155" xr:uid="{00000000-0005-0000-0000-000078010000}"/>
    <cellStyle name="Normal 6 3 2 4" xfId="280" xr:uid="{00000000-0005-0000-0000-000079010000}"/>
    <cellStyle name="Normal 6 3 2 5" xfId="400" xr:uid="{00000000-0005-0000-0000-00007A010000}"/>
    <cellStyle name="Normal 6 3 3" xfId="70" xr:uid="{00000000-0005-0000-0000-00007B010000}"/>
    <cellStyle name="Normal 6 3 3 2" xfId="191" xr:uid="{00000000-0005-0000-0000-00007C010000}"/>
    <cellStyle name="Normal 6 3 3 3" xfId="312" xr:uid="{00000000-0005-0000-0000-00007D010000}"/>
    <cellStyle name="Normal 6 3 3 4" xfId="432" xr:uid="{00000000-0005-0000-0000-00007E010000}"/>
    <cellStyle name="Normal 6 3 4" xfId="232" xr:uid="{00000000-0005-0000-0000-00007F010000}"/>
    <cellStyle name="Normal 6 3 4 2" xfId="353" xr:uid="{00000000-0005-0000-0000-000080010000}"/>
    <cellStyle name="Normal 6 3 4 3" xfId="473" xr:uid="{00000000-0005-0000-0000-000081010000}"/>
    <cellStyle name="Normal 6 3 5" xfId="152" xr:uid="{00000000-0005-0000-0000-000082010000}"/>
    <cellStyle name="Normal 6 3 5 2" xfId="277" xr:uid="{00000000-0005-0000-0000-000083010000}"/>
    <cellStyle name="Normal 6 3 5 3" xfId="397" xr:uid="{00000000-0005-0000-0000-000084010000}"/>
    <cellStyle name="Normal 6 3 6" xfId="104" xr:uid="{00000000-0005-0000-0000-000085010000}"/>
    <cellStyle name="Normal 6 3 7" xfId="241" xr:uid="{00000000-0005-0000-0000-000086010000}"/>
    <cellStyle name="Normal 6 3 8" xfId="361" xr:uid="{00000000-0005-0000-0000-000087010000}"/>
    <cellStyle name="Normal 6 4" xfId="32" xr:uid="{00000000-0005-0000-0000-000088010000}"/>
    <cellStyle name="Normal 6 4 2" xfId="192" xr:uid="{00000000-0005-0000-0000-000089010000}"/>
    <cellStyle name="Normal 6 4 3" xfId="313" xr:uid="{00000000-0005-0000-0000-00008A010000}"/>
    <cellStyle name="Normal 6 4 4" xfId="433" xr:uid="{00000000-0005-0000-0000-00008B010000}"/>
    <cellStyle name="Normal 7" xfId="18" xr:uid="{00000000-0005-0000-0000-00008C010000}"/>
    <cellStyle name="Normal 7 10" xfId="362" xr:uid="{00000000-0005-0000-0000-00008D010000}"/>
    <cellStyle name="Normal 7 2" xfId="22" xr:uid="{00000000-0005-0000-0000-00008E010000}"/>
    <cellStyle name="Normal 7 2 2" xfId="31" xr:uid="{00000000-0005-0000-0000-00008F010000}"/>
    <cellStyle name="Normal 7 2 2 2" xfId="38" xr:uid="{00000000-0005-0000-0000-000090010000}"/>
    <cellStyle name="Normal 7 2 2 2 2" xfId="194" xr:uid="{00000000-0005-0000-0000-000091010000}"/>
    <cellStyle name="Normal 7 2 2 2 3" xfId="315" xr:uid="{00000000-0005-0000-0000-000092010000}"/>
    <cellStyle name="Normal 7 2 2 2 4" xfId="435" xr:uid="{00000000-0005-0000-0000-000093010000}"/>
    <cellStyle name="Normal 7 2 2 3" xfId="193" xr:uid="{00000000-0005-0000-0000-000094010000}"/>
    <cellStyle name="Normal 7 2 2 4" xfId="314" xr:uid="{00000000-0005-0000-0000-000095010000}"/>
    <cellStyle name="Normal 7 2 2 5" xfId="434" xr:uid="{00000000-0005-0000-0000-000096010000}"/>
    <cellStyle name="Normal 7 2 3" xfId="34" xr:uid="{00000000-0005-0000-0000-000097010000}"/>
    <cellStyle name="Normal 7 2 3 2" xfId="195" xr:uid="{00000000-0005-0000-0000-000098010000}"/>
    <cellStyle name="Normal 7 2 3 3" xfId="316" xr:uid="{00000000-0005-0000-0000-000099010000}"/>
    <cellStyle name="Normal 7 2 3 4" xfId="436" xr:uid="{00000000-0005-0000-0000-00009A010000}"/>
    <cellStyle name="Normal 7 2 4" xfId="235" xr:uid="{00000000-0005-0000-0000-00009B010000}"/>
    <cellStyle name="Normal 7 2 4 2" xfId="356" xr:uid="{00000000-0005-0000-0000-00009C010000}"/>
    <cellStyle name="Normal 7 2 4 3" xfId="476" xr:uid="{00000000-0005-0000-0000-00009D010000}"/>
    <cellStyle name="Normal 7 2 5" xfId="156" xr:uid="{00000000-0005-0000-0000-00009E010000}"/>
    <cellStyle name="Normal 7 2 5 2" xfId="281" xr:uid="{00000000-0005-0000-0000-00009F010000}"/>
    <cellStyle name="Normal 7 2 5 3" xfId="401" xr:uid="{00000000-0005-0000-0000-0000A0010000}"/>
    <cellStyle name="Normal 7 2 6" xfId="145" xr:uid="{00000000-0005-0000-0000-0000A1010000}"/>
    <cellStyle name="Normal 7 2 7" xfId="274" xr:uid="{00000000-0005-0000-0000-0000A2010000}"/>
    <cellStyle name="Normal 7 2 8" xfId="394" xr:uid="{00000000-0005-0000-0000-0000A3010000}"/>
    <cellStyle name="Normal 7 3" xfId="23" xr:uid="{00000000-0005-0000-0000-0000A4010000}"/>
    <cellStyle name="Normal 7 3 2" xfId="35" xr:uid="{00000000-0005-0000-0000-0000A5010000}"/>
    <cellStyle name="Normal 7 3 2 2" xfId="197" xr:uid="{00000000-0005-0000-0000-0000A6010000}"/>
    <cellStyle name="Normal 7 3 2 3" xfId="318" xr:uid="{00000000-0005-0000-0000-0000A7010000}"/>
    <cellStyle name="Normal 7 3 2 4" xfId="438" xr:uid="{00000000-0005-0000-0000-0000A8010000}"/>
    <cellStyle name="Normal 7 3 3" xfId="196" xr:uid="{00000000-0005-0000-0000-0000A9010000}"/>
    <cellStyle name="Normal 7 3 3 2" xfId="317" xr:uid="{00000000-0005-0000-0000-0000AA010000}"/>
    <cellStyle name="Normal 7 3 3 3" xfId="437" xr:uid="{00000000-0005-0000-0000-0000AB010000}"/>
    <cellStyle name="Normal 7 3 4" xfId="150" xr:uid="{00000000-0005-0000-0000-0000AC010000}"/>
    <cellStyle name="Normal 7 3 5" xfId="275" xr:uid="{00000000-0005-0000-0000-0000AD010000}"/>
    <cellStyle name="Normal 7 3 6" xfId="395" xr:uid="{00000000-0005-0000-0000-0000AE010000}"/>
    <cellStyle name="Normal 7 4" xfId="33" xr:uid="{00000000-0005-0000-0000-0000AF010000}"/>
    <cellStyle name="Normal 7 4 2" xfId="198" xr:uid="{00000000-0005-0000-0000-0000B0010000}"/>
    <cellStyle name="Normal 7 4 3" xfId="319" xr:uid="{00000000-0005-0000-0000-0000B1010000}"/>
    <cellStyle name="Normal 7 4 4" xfId="439" xr:uid="{00000000-0005-0000-0000-0000B2010000}"/>
    <cellStyle name="Normal 7 5" xfId="71" xr:uid="{00000000-0005-0000-0000-0000B3010000}"/>
    <cellStyle name="Normal 7 5 2" xfId="199" xr:uid="{00000000-0005-0000-0000-0000B4010000}"/>
    <cellStyle name="Normal 7 5 3" xfId="320" xr:uid="{00000000-0005-0000-0000-0000B5010000}"/>
    <cellStyle name="Normal 7 5 4" xfId="440" xr:uid="{00000000-0005-0000-0000-0000B6010000}"/>
    <cellStyle name="Normal 7 6" xfId="234" xr:uid="{00000000-0005-0000-0000-0000B7010000}"/>
    <cellStyle name="Normal 7 6 2" xfId="355" xr:uid="{00000000-0005-0000-0000-0000B8010000}"/>
    <cellStyle name="Normal 7 6 3" xfId="475" xr:uid="{00000000-0005-0000-0000-0000B9010000}"/>
    <cellStyle name="Normal 7 7" xfId="153" xr:uid="{00000000-0005-0000-0000-0000BA010000}"/>
    <cellStyle name="Normal 7 7 2" xfId="278" xr:uid="{00000000-0005-0000-0000-0000BB010000}"/>
    <cellStyle name="Normal 7 7 3" xfId="398" xr:uid="{00000000-0005-0000-0000-0000BC010000}"/>
    <cellStyle name="Normal 7 8" xfId="105" xr:uid="{00000000-0005-0000-0000-0000BD010000}"/>
    <cellStyle name="Normal 7 9" xfId="242" xr:uid="{00000000-0005-0000-0000-0000BE010000}"/>
    <cellStyle name="Normal 8" xfId="24" xr:uid="{00000000-0005-0000-0000-0000BF010000}"/>
    <cellStyle name="Normal 8 2" xfId="36" xr:uid="{00000000-0005-0000-0000-0000C0010000}"/>
    <cellStyle name="Normal 8 2 2" xfId="237" xr:uid="{00000000-0005-0000-0000-0000C1010000}"/>
    <cellStyle name="Normal 8 2 2 2" xfId="358" xr:uid="{00000000-0005-0000-0000-0000C2010000}"/>
    <cellStyle name="Normal 8 2 2 3" xfId="478" xr:uid="{00000000-0005-0000-0000-0000C3010000}"/>
    <cellStyle name="Normal 8 2 3" xfId="157" xr:uid="{00000000-0005-0000-0000-0000C4010000}"/>
    <cellStyle name="Normal 8 2 4" xfId="282" xr:uid="{00000000-0005-0000-0000-0000C5010000}"/>
    <cellStyle name="Normal 8 2 5" xfId="402" xr:uid="{00000000-0005-0000-0000-0000C6010000}"/>
    <cellStyle name="Normal 8 3" xfId="73" xr:uid="{00000000-0005-0000-0000-0000C7010000}"/>
    <cellStyle name="Normal 8 3 2" xfId="200" xr:uid="{00000000-0005-0000-0000-0000C8010000}"/>
    <cellStyle name="Normal 8 3 3" xfId="321" xr:uid="{00000000-0005-0000-0000-0000C9010000}"/>
    <cellStyle name="Normal 8 3 4" xfId="441" xr:uid="{00000000-0005-0000-0000-0000CA010000}"/>
    <cellStyle name="Normal 8 4" xfId="236" xr:uid="{00000000-0005-0000-0000-0000CB010000}"/>
    <cellStyle name="Normal 8 4 2" xfId="357" xr:uid="{00000000-0005-0000-0000-0000CC010000}"/>
    <cellStyle name="Normal 8 4 3" xfId="477" xr:uid="{00000000-0005-0000-0000-0000CD010000}"/>
    <cellStyle name="Normal 8 5" xfId="151" xr:uid="{00000000-0005-0000-0000-0000CE010000}"/>
    <cellStyle name="Normal 8 5 2" xfId="276" xr:uid="{00000000-0005-0000-0000-0000CF010000}"/>
    <cellStyle name="Normal 8 5 3" xfId="396" xr:uid="{00000000-0005-0000-0000-0000D0010000}"/>
    <cellStyle name="Normal 8 6" xfId="107" xr:uid="{00000000-0005-0000-0000-0000D1010000}"/>
    <cellStyle name="Normal 8 7" xfId="244" xr:uid="{00000000-0005-0000-0000-0000D2010000}"/>
    <cellStyle name="Normal 8 8" xfId="364" xr:uid="{00000000-0005-0000-0000-0000D3010000}"/>
    <cellStyle name="Normal 9" xfId="47" xr:uid="{00000000-0005-0000-0000-0000D4010000}"/>
    <cellStyle name="Normal 9 2" xfId="74" xr:uid="{00000000-0005-0000-0000-0000D5010000}"/>
    <cellStyle name="Normal 9 2 2" xfId="201" xr:uid="{00000000-0005-0000-0000-0000D6010000}"/>
    <cellStyle name="Normal 9 2 3" xfId="322" xr:uid="{00000000-0005-0000-0000-0000D7010000}"/>
    <cellStyle name="Normal 9 2 4" xfId="442" xr:uid="{00000000-0005-0000-0000-0000D8010000}"/>
    <cellStyle name="Normal 9 3" xfId="238" xr:uid="{00000000-0005-0000-0000-0000D9010000}"/>
    <cellStyle name="Normal 9 3 2" xfId="359" xr:uid="{00000000-0005-0000-0000-0000DA010000}"/>
    <cellStyle name="Normal 9 3 3" xfId="479" xr:uid="{00000000-0005-0000-0000-0000DB010000}"/>
    <cellStyle name="Normal 9 4" xfId="108" xr:uid="{00000000-0005-0000-0000-0000DC010000}"/>
    <cellStyle name="Normal 9 5" xfId="245" xr:uid="{00000000-0005-0000-0000-0000DD010000}"/>
    <cellStyle name="Normal 9 6" xfId="365" xr:uid="{00000000-0005-0000-0000-0000DE010000}"/>
    <cellStyle name="Normal_adasi-purchases-2004-1" xfId="4" xr:uid="{00000000-0005-0000-0000-0000DF010000}"/>
    <cellStyle name="Normal_regina-2004-purchases-5_regina-2005-shippingInst" xfId="1" xr:uid="{00000000-0005-0000-0000-0000E0010000}"/>
    <cellStyle name="Normal_regina-2004-purchases-5_regina-2005-shippingInst 2" xfId="240" xr:uid="{00000000-0005-0000-0000-0000E1010000}"/>
    <cellStyle name="Normal_Sheet1" xfId="2" xr:uid="{00000000-0005-0000-0000-0000E3010000}"/>
    <cellStyle name="Обычный 13" xfId="484" xr:uid="{00000000-0005-0000-0000-0000E401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38099</xdr:colOff>
      <xdr:row>61</xdr:row>
      <xdr:rowOff>0</xdr:rowOff>
    </xdr:from>
    <xdr:to>
      <xdr:col>2</xdr:col>
      <xdr:colOff>1362074</xdr:colOff>
      <xdr:row>65</xdr:row>
      <xdr:rowOff>135024</xdr:rowOff>
    </xdr:to>
    <xdr:pic>
      <xdr:nvPicPr>
        <xdr:cNvPr id="2" name="Picture 1" descr="jason_sign">
          <a:extLst>
            <a:ext uri="{FF2B5EF4-FFF2-40B4-BE49-F238E27FC236}">
              <a16:creationId xmlns:a16="http://schemas.microsoft.com/office/drawing/2014/main" id="{D75AB056-6DC8-410A-A9C1-0118010C8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57724" y="10496550"/>
          <a:ext cx="1323975" cy="887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38099</xdr:colOff>
      <xdr:row>61</xdr:row>
      <xdr:rowOff>0</xdr:rowOff>
    </xdr:from>
    <xdr:to>
      <xdr:col>2</xdr:col>
      <xdr:colOff>1362074</xdr:colOff>
      <xdr:row>65</xdr:row>
      <xdr:rowOff>135024</xdr:rowOff>
    </xdr:to>
    <xdr:pic>
      <xdr:nvPicPr>
        <xdr:cNvPr id="2" name="Picture 1" descr="jason_sign">
          <a:extLst>
            <a:ext uri="{FF2B5EF4-FFF2-40B4-BE49-F238E27FC236}">
              <a16:creationId xmlns:a16="http://schemas.microsoft.com/office/drawing/2014/main" id="{6A9D763D-758B-44D3-9FCF-7ABC562EE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57724" y="10496550"/>
          <a:ext cx="1323975" cy="887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38099</xdr:colOff>
      <xdr:row>61</xdr:row>
      <xdr:rowOff>0</xdr:rowOff>
    </xdr:from>
    <xdr:to>
      <xdr:col>2</xdr:col>
      <xdr:colOff>1362074</xdr:colOff>
      <xdr:row>65</xdr:row>
      <xdr:rowOff>135024</xdr:rowOff>
    </xdr:to>
    <xdr:pic>
      <xdr:nvPicPr>
        <xdr:cNvPr id="2" name="Picture 1" descr="jason_sign">
          <a:extLst>
            <a:ext uri="{FF2B5EF4-FFF2-40B4-BE49-F238E27FC236}">
              <a16:creationId xmlns:a16="http://schemas.microsoft.com/office/drawing/2014/main" id="{3243BB42-9777-47B7-8B35-7286EA62E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57724" y="10496550"/>
          <a:ext cx="1323975" cy="887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38099</xdr:colOff>
      <xdr:row>61</xdr:row>
      <xdr:rowOff>0</xdr:rowOff>
    </xdr:from>
    <xdr:to>
      <xdr:col>2</xdr:col>
      <xdr:colOff>1362074</xdr:colOff>
      <xdr:row>65</xdr:row>
      <xdr:rowOff>135024</xdr:rowOff>
    </xdr:to>
    <xdr:pic>
      <xdr:nvPicPr>
        <xdr:cNvPr id="2" name="Picture 1" descr="jason_sign">
          <a:extLst>
            <a:ext uri="{FF2B5EF4-FFF2-40B4-BE49-F238E27FC236}">
              <a16:creationId xmlns:a16="http://schemas.microsoft.com/office/drawing/2014/main" id="{05C10C66-7B78-4C31-9B49-181C4BA0A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57724" y="10496550"/>
          <a:ext cx="1323975" cy="887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38099</xdr:colOff>
      <xdr:row>61</xdr:row>
      <xdr:rowOff>0</xdr:rowOff>
    </xdr:from>
    <xdr:to>
      <xdr:col>2</xdr:col>
      <xdr:colOff>1362074</xdr:colOff>
      <xdr:row>65</xdr:row>
      <xdr:rowOff>135024</xdr:rowOff>
    </xdr:to>
    <xdr:pic>
      <xdr:nvPicPr>
        <xdr:cNvPr id="2" name="Picture 1" descr="jason_sign">
          <a:extLst>
            <a:ext uri="{FF2B5EF4-FFF2-40B4-BE49-F238E27FC236}">
              <a16:creationId xmlns:a16="http://schemas.microsoft.com/office/drawing/2014/main" id="{D8BD74B7-3D71-434C-B00C-494BE45FE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57724" y="10496550"/>
          <a:ext cx="1323975" cy="887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4EDB0-ABF2-4D8B-8D2A-F3B96E0DE79D}">
  <sheetPr>
    <pageSetUpPr fitToPage="1"/>
  </sheetPr>
  <dimension ref="A1:H69"/>
  <sheetViews>
    <sheetView tabSelected="1" topLeftCell="A19" workbookViewId="0">
      <selection activeCell="B46" sqref="B46"/>
    </sheetView>
  </sheetViews>
  <sheetFormatPr defaultColWidth="9.140625" defaultRowHeight="12.75"/>
  <cols>
    <col min="1" max="1" width="17.42578125" style="5" customWidth="1"/>
    <col min="2" max="2" width="51.85546875" style="5" customWidth="1"/>
    <col min="3" max="3" width="24.7109375" style="9" customWidth="1"/>
    <col min="4" max="4" width="18.28515625" style="10" customWidth="1"/>
    <col min="5" max="5" width="18" style="8" customWidth="1"/>
    <col min="6" max="16384" width="9.140625" style="8"/>
  </cols>
  <sheetData>
    <row r="1" spans="1:8" s="5" customFormat="1" ht="34.5">
      <c r="A1" s="99" t="s">
        <v>0</v>
      </c>
      <c r="B1" s="100"/>
      <c r="C1" s="100"/>
      <c r="D1" s="101"/>
    </row>
    <row r="2" spans="1:8" s="5" customFormat="1">
      <c r="A2" s="102" t="s">
        <v>1</v>
      </c>
      <c r="B2" s="103"/>
      <c r="C2" s="103"/>
      <c r="D2" s="104"/>
    </row>
    <row r="3" spans="1:8" s="5" customFormat="1">
      <c r="A3" s="102" t="s">
        <v>2</v>
      </c>
      <c r="B3" s="103"/>
      <c r="C3" s="103"/>
      <c r="D3" s="104"/>
    </row>
    <row r="4" spans="1:8" s="5" customFormat="1" ht="15.75">
      <c r="A4" s="105" t="s">
        <v>3</v>
      </c>
      <c r="B4" s="106"/>
      <c r="C4" s="106"/>
      <c r="D4" s="107"/>
    </row>
    <row r="5" spans="1:8" s="5" customFormat="1" ht="15.75">
      <c r="A5" s="29"/>
      <c r="B5" s="96"/>
      <c r="C5" s="20" t="s">
        <v>4</v>
      </c>
      <c r="D5" s="98" t="s">
        <v>88</v>
      </c>
      <c r="E5" s="8"/>
      <c r="F5" s="8"/>
      <c r="G5" s="8"/>
      <c r="H5" s="8"/>
    </row>
    <row r="6" spans="1:8" ht="15.75">
      <c r="A6" s="29"/>
      <c r="B6" s="96"/>
      <c r="C6" s="20" t="s">
        <v>5</v>
      </c>
      <c r="D6" s="87">
        <v>44396</v>
      </c>
    </row>
    <row r="7" spans="1:8">
      <c r="A7" s="30" t="s">
        <v>6</v>
      </c>
      <c r="B7" s="26"/>
      <c r="C7" s="31" t="s">
        <v>7</v>
      </c>
      <c r="D7" s="34"/>
    </row>
    <row r="8" spans="1:8" ht="15.75">
      <c r="A8" s="21" t="s">
        <v>8</v>
      </c>
      <c r="B8" s="3"/>
      <c r="C8" s="25" t="s">
        <v>42</v>
      </c>
      <c r="D8" s="69"/>
    </row>
    <row r="9" spans="1:8">
      <c r="A9" s="13" t="s">
        <v>9</v>
      </c>
      <c r="C9" s="25" t="s">
        <v>44</v>
      </c>
      <c r="D9" s="70"/>
    </row>
    <row r="10" spans="1:8" ht="12.75" customHeight="1">
      <c r="A10" s="21" t="s">
        <v>10</v>
      </c>
      <c r="C10" s="25" t="s">
        <v>43</v>
      </c>
      <c r="D10" s="70"/>
    </row>
    <row r="11" spans="1:8">
      <c r="A11" s="21" t="s">
        <v>11</v>
      </c>
      <c r="B11" s="7"/>
      <c r="C11" s="25" t="s">
        <v>41</v>
      </c>
      <c r="D11" s="70"/>
    </row>
    <row r="12" spans="1:8">
      <c r="A12" s="13"/>
      <c r="C12" s="35" t="s">
        <v>40</v>
      </c>
      <c r="D12" s="70"/>
    </row>
    <row r="13" spans="1:8">
      <c r="A13" s="13"/>
      <c r="C13" s="44" t="s">
        <v>83</v>
      </c>
      <c r="D13" s="70"/>
    </row>
    <row r="14" spans="1:8">
      <c r="A14" s="13"/>
      <c r="C14" s="44" t="s">
        <v>46</v>
      </c>
      <c r="D14" s="70"/>
    </row>
    <row r="15" spans="1:8">
      <c r="A15" s="13"/>
      <c r="C15" s="35"/>
      <c r="D15" s="70"/>
    </row>
    <row r="16" spans="1:8">
      <c r="A16" s="33" t="s">
        <v>12</v>
      </c>
      <c r="C16" s="22" t="s">
        <v>13</v>
      </c>
      <c r="D16" s="70"/>
    </row>
    <row r="17" spans="1:5">
      <c r="A17" s="29" t="s">
        <v>14</v>
      </c>
      <c r="C17" s="25" t="s">
        <v>15</v>
      </c>
      <c r="D17" s="70"/>
    </row>
    <row r="18" spans="1:5">
      <c r="A18" s="13"/>
      <c r="C18" s="32" t="s">
        <v>16</v>
      </c>
      <c r="D18" s="70"/>
    </row>
    <row r="19" spans="1:5" s="2" customFormat="1" ht="15.75">
      <c r="A19" s="21"/>
      <c r="B19" s="27"/>
      <c r="C19" s="32" t="s">
        <v>17</v>
      </c>
      <c r="D19" s="71"/>
    </row>
    <row r="20" spans="1:5" s="2" customFormat="1" ht="15.75">
      <c r="A20" s="28"/>
      <c r="B20" s="27"/>
      <c r="C20" s="23"/>
      <c r="D20" s="71"/>
    </row>
    <row r="21" spans="1:5" s="1" customFormat="1" ht="15">
      <c r="A21" s="36" t="s">
        <v>18</v>
      </c>
      <c r="B21" s="37" t="s">
        <v>19</v>
      </c>
      <c r="C21" s="38" t="s">
        <v>20</v>
      </c>
      <c r="D21" s="39" t="s">
        <v>21</v>
      </c>
    </row>
    <row r="22" spans="1:5" s="1" customFormat="1" ht="15">
      <c r="A22" s="40" t="s">
        <v>22</v>
      </c>
      <c r="B22" s="41" t="s">
        <v>23</v>
      </c>
      <c r="C22" s="42"/>
      <c r="D22" s="43" t="s">
        <v>24</v>
      </c>
    </row>
    <row r="23" spans="1:5">
      <c r="A23" s="4"/>
      <c r="B23" s="19" t="s">
        <v>25</v>
      </c>
      <c r="C23" s="6"/>
      <c r="D23" s="74"/>
    </row>
    <row r="24" spans="1:5">
      <c r="A24" s="85" t="s">
        <v>47</v>
      </c>
      <c r="B24" s="59"/>
      <c r="C24" s="58"/>
      <c r="D24" s="75"/>
    </row>
    <row r="25" spans="1:5">
      <c r="A25" s="64" t="s">
        <v>82</v>
      </c>
      <c r="B25" s="57"/>
      <c r="C25" s="63"/>
      <c r="D25" s="75"/>
      <c r="E25" s="82"/>
    </row>
    <row r="26" spans="1:5">
      <c r="A26" s="97" t="s">
        <v>86</v>
      </c>
      <c r="B26" s="57" t="s">
        <v>89</v>
      </c>
      <c r="C26" s="58" t="s">
        <v>87</v>
      </c>
      <c r="D26" s="75">
        <v>720000</v>
      </c>
      <c r="E26" s="19"/>
    </row>
    <row r="27" spans="1:5">
      <c r="A27" s="68"/>
      <c r="B27" s="59"/>
      <c r="C27" s="58"/>
      <c r="D27" s="75"/>
      <c r="E27" s="67"/>
    </row>
    <row r="28" spans="1:5">
      <c r="A28" s="68"/>
      <c r="B28" s="59"/>
      <c r="C28" s="58"/>
      <c r="D28" s="80"/>
      <c r="E28" s="60"/>
    </row>
    <row r="29" spans="1:5">
      <c r="A29" s="68"/>
      <c r="B29" s="59"/>
      <c r="C29" s="58"/>
      <c r="D29" s="75"/>
      <c r="E29" s="67"/>
    </row>
    <row r="30" spans="1:5">
      <c r="A30" s="68"/>
      <c r="B30" s="59"/>
      <c r="C30" s="58"/>
      <c r="D30" s="75"/>
      <c r="E30" s="67"/>
    </row>
    <row r="31" spans="1:5">
      <c r="A31" s="68"/>
      <c r="B31" s="59"/>
      <c r="C31" s="58"/>
      <c r="D31" s="75"/>
      <c r="E31" s="60"/>
    </row>
    <row r="32" spans="1:5">
      <c r="A32" s="110" t="s">
        <v>63</v>
      </c>
      <c r="B32" s="78"/>
      <c r="C32" s="58"/>
      <c r="D32" s="75"/>
      <c r="E32" s="60"/>
    </row>
    <row r="33" spans="1:6">
      <c r="A33" s="111" t="s">
        <v>48</v>
      </c>
      <c r="B33" s="112"/>
      <c r="C33" s="63"/>
      <c r="D33" s="75"/>
      <c r="E33" s="60"/>
    </row>
    <row r="34" spans="1:6">
      <c r="A34" s="92">
        <v>5507076</v>
      </c>
      <c r="B34" s="83" t="s">
        <v>90</v>
      </c>
      <c r="C34" s="90" t="s">
        <v>91</v>
      </c>
      <c r="D34" s="73">
        <v>1390000</v>
      </c>
      <c r="E34" s="67"/>
    </row>
    <row r="35" spans="1:6">
      <c r="A35" s="113"/>
      <c r="B35" s="78"/>
      <c r="C35" s="58"/>
      <c r="D35" s="75"/>
      <c r="E35" s="60"/>
    </row>
    <row r="36" spans="1:6">
      <c r="A36" s="113"/>
      <c r="B36" s="78"/>
      <c r="C36" s="79"/>
      <c r="D36" s="75"/>
      <c r="E36"/>
    </row>
    <row r="37" spans="1:6">
      <c r="A37" s="113"/>
      <c r="B37" s="78"/>
      <c r="C37" s="58"/>
      <c r="D37" s="75"/>
      <c r="E37" s="60"/>
    </row>
    <row r="38" spans="1:6">
      <c r="A38" s="68"/>
      <c r="B38" s="57"/>
      <c r="C38" s="63"/>
      <c r="D38" s="75"/>
      <c r="E38"/>
    </row>
    <row r="39" spans="1:6">
      <c r="A39" s="68"/>
      <c r="B39" s="59"/>
      <c r="C39" s="58"/>
      <c r="D39" s="75"/>
      <c r="E39" s="83"/>
      <c r="F39" s="84"/>
    </row>
    <row r="40" spans="1:6">
      <c r="A40" s="68"/>
      <c r="B40" s="59"/>
      <c r="C40" s="58"/>
      <c r="D40" s="75"/>
      <c r="E40"/>
    </row>
    <row r="41" spans="1:6">
      <c r="A41" s="68"/>
      <c r="B41" s="59"/>
      <c r="C41" s="58"/>
      <c r="D41" s="75"/>
      <c r="E41" s="81"/>
    </row>
    <row r="42" spans="1:6">
      <c r="A42" s="68"/>
      <c r="B42" s="59"/>
      <c r="C42" s="58"/>
      <c r="D42" s="75"/>
      <c r="E42" s="67"/>
    </row>
    <row r="43" spans="1:6">
      <c r="A43" s="68"/>
      <c r="B43" s="78"/>
      <c r="C43" s="58"/>
      <c r="D43" s="75"/>
      <c r="E43" s="67"/>
    </row>
    <row r="44" spans="1:6">
      <c r="A44" s="68"/>
      <c r="B44" s="78"/>
      <c r="C44" s="58"/>
      <c r="D44" s="75"/>
      <c r="E44" s="60"/>
    </row>
    <row r="45" spans="1:6">
      <c r="A45" s="68"/>
      <c r="B45" s="78"/>
      <c r="C45" s="58"/>
      <c r="D45" s="75"/>
    </row>
    <row r="46" spans="1:6">
      <c r="A46" s="68"/>
      <c r="B46" s="59"/>
      <c r="C46" s="58"/>
      <c r="D46" s="75"/>
      <c r="E46" s="60"/>
      <c r="F46" s="65"/>
    </row>
    <row r="47" spans="1:6">
      <c r="A47" s="68"/>
      <c r="B47" s="59"/>
      <c r="C47" s="58"/>
      <c r="D47" s="75"/>
      <c r="E47" s="60"/>
      <c r="F47" s="65"/>
    </row>
    <row r="48" spans="1:6">
      <c r="A48" s="4"/>
      <c r="B48" s="62"/>
      <c r="C48" s="61"/>
      <c r="D48" s="75"/>
      <c r="E48" s="81"/>
      <c r="F48" s="65"/>
    </row>
    <row r="49" spans="1:6">
      <c r="A49" s="4"/>
      <c r="B49" s="62"/>
      <c r="C49" s="61"/>
      <c r="D49" s="75"/>
      <c r="E49" s="60"/>
    </row>
    <row r="50" spans="1:6">
      <c r="A50" s="68"/>
      <c r="B50" s="59"/>
      <c r="C50" s="58"/>
      <c r="D50" s="75"/>
      <c r="E50" s="60"/>
    </row>
    <row r="51" spans="1:6">
      <c r="A51" s="4"/>
      <c r="C51" s="12"/>
      <c r="D51" s="74"/>
    </row>
    <row r="52" spans="1:6">
      <c r="A52" s="4"/>
      <c r="B52" s="66"/>
      <c r="C52" s="61"/>
      <c r="D52" s="76"/>
      <c r="E52" s="67"/>
    </row>
    <row r="53" spans="1:6">
      <c r="A53" s="11" t="s">
        <v>26</v>
      </c>
      <c r="B53" s="62"/>
      <c r="C53" s="61"/>
      <c r="D53" s="75"/>
      <c r="E53" s="60"/>
      <c r="F53" s="65"/>
    </row>
    <row r="54" spans="1:6">
      <c r="A54" s="4"/>
      <c r="B54" s="62" t="s">
        <v>64</v>
      </c>
      <c r="C54" s="61"/>
      <c r="D54" s="75">
        <v>0</v>
      </c>
      <c r="E54" s="60"/>
      <c r="F54" s="65"/>
    </row>
    <row r="55" spans="1:6">
      <c r="A55" s="4"/>
      <c r="B55" s="62"/>
      <c r="C55" s="61"/>
      <c r="D55" s="75"/>
      <c r="E55" s="60"/>
      <c r="F55" s="65"/>
    </row>
    <row r="56" spans="1:6">
      <c r="A56" s="4"/>
      <c r="B56" s="62"/>
      <c r="C56" s="61"/>
      <c r="D56" s="75"/>
      <c r="E56" s="60"/>
      <c r="F56" s="65"/>
    </row>
    <row r="57" spans="1:6">
      <c r="A57" s="4"/>
      <c r="B57" s="62"/>
      <c r="C57" s="61"/>
      <c r="D57" s="75"/>
      <c r="E57" s="60"/>
      <c r="F57" s="65"/>
    </row>
    <row r="58" spans="1:6">
      <c r="A58" s="4"/>
      <c r="B58" s="62"/>
      <c r="C58" s="61"/>
      <c r="D58" s="74"/>
      <c r="E58" s="60"/>
      <c r="F58" s="65"/>
    </row>
    <row r="59" spans="1:6">
      <c r="A59" s="45"/>
      <c r="B59" s="46"/>
      <c r="C59" s="47"/>
      <c r="D59" s="77"/>
    </row>
    <row r="60" spans="1:6" s="1" customFormat="1" ht="15">
      <c r="A60" s="48" t="s">
        <v>27</v>
      </c>
      <c r="B60" s="49"/>
      <c r="C60" s="50"/>
      <c r="D60" s="89">
        <f>SUM(D23:D59)</f>
        <v>2110000</v>
      </c>
    </row>
    <row r="61" spans="1:6" ht="15">
      <c r="A61" s="108" t="s">
        <v>28</v>
      </c>
      <c r="B61" s="109"/>
      <c r="C61" s="14" t="s">
        <v>29</v>
      </c>
      <c r="D61" s="72"/>
    </row>
    <row r="62" spans="1:6" ht="15">
      <c r="A62" s="24" t="s">
        <v>30</v>
      </c>
      <c r="B62"/>
      <c r="C62" s="15"/>
      <c r="D62" s="72"/>
    </row>
    <row r="63" spans="1:6" s="1" customFormat="1" ht="15">
      <c r="A63" s="51" t="s">
        <v>31</v>
      </c>
      <c r="B63"/>
      <c r="C63" s="14"/>
      <c r="D63" s="72"/>
    </row>
    <row r="64" spans="1:6" ht="15">
      <c r="A64" s="51" t="s">
        <v>32</v>
      </c>
      <c r="B64"/>
      <c r="C64" s="16"/>
      <c r="D64" s="72"/>
    </row>
    <row r="65" spans="1:4" s="1" customFormat="1" ht="14.25">
      <c r="A65" s="51" t="s">
        <v>33</v>
      </c>
      <c r="B65"/>
      <c r="C65" s="17"/>
      <c r="D65" s="72"/>
    </row>
    <row r="66" spans="1:4" s="1" customFormat="1" ht="14.25">
      <c r="A66" s="52" t="s">
        <v>34</v>
      </c>
      <c r="B66"/>
      <c r="C66" s="16"/>
      <c r="D66" s="72"/>
    </row>
    <row r="67" spans="1:4" s="1" customFormat="1" ht="14.25">
      <c r="A67" s="51" t="s">
        <v>35</v>
      </c>
      <c r="B67"/>
      <c r="C67" s="18" t="s">
        <v>36</v>
      </c>
      <c r="D67" s="72"/>
    </row>
    <row r="68" spans="1:4" s="1" customFormat="1" ht="14.25">
      <c r="A68" s="18" t="s">
        <v>37</v>
      </c>
      <c r="B68"/>
      <c r="C68" s="13" t="s">
        <v>38</v>
      </c>
      <c r="D68" s="73"/>
    </row>
    <row r="69" spans="1:4" s="1" customFormat="1" ht="14.25">
      <c r="A69" s="53"/>
      <c r="B69" s="54"/>
      <c r="C69" s="55" t="s">
        <v>39</v>
      </c>
      <c r="D69" s="56"/>
    </row>
  </sheetData>
  <mergeCells count="5">
    <mergeCell ref="A1:D1"/>
    <mergeCell ref="A2:D2"/>
    <mergeCell ref="A3:D3"/>
    <mergeCell ref="A4:D4"/>
    <mergeCell ref="A61:B61"/>
  </mergeCells>
  <printOptions horizontalCentered="1" verticalCentered="1"/>
  <pageMargins left="0.25" right="0.25" top="0.25" bottom="0.25" header="0" footer="0"/>
  <pageSetup paperSize="9" scale="87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AC1B9-1CCC-4E0A-ABF7-70E72C238234}">
  <sheetPr>
    <pageSetUpPr fitToPage="1"/>
  </sheetPr>
  <dimension ref="A1:H69"/>
  <sheetViews>
    <sheetView topLeftCell="A7" workbookViewId="0">
      <selection activeCell="A32" sqref="A32:B33"/>
    </sheetView>
  </sheetViews>
  <sheetFormatPr defaultColWidth="9.140625" defaultRowHeight="12.75"/>
  <cols>
    <col min="1" max="1" width="17.42578125" style="5" customWidth="1"/>
    <col min="2" max="2" width="51.85546875" style="5" customWidth="1"/>
    <col min="3" max="3" width="24.7109375" style="9" customWidth="1"/>
    <col min="4" max="4" width="18.28515625" style="10" customWidth="1"/>
    <col min="5" max="5" width="18" style="8" customWidth="1"/>
    <col min="6" max="16384" width="9.140625" style="8"/>
  </cols>
  <sheetData>
    <row r="1" spans="1:8" s="5" customFormat="1" ht="34.5">
      <c r="A1" s="99" t="s">
        <v>0</v>
      </c>
      <c r="B1" s="100"/>
      <c r="C1" s="100"/>
      <c r="D1" s="101"/>
    </row>
    <row r="2" spans="1:8" s="5" customFormat="1">
      <c r="A2" s="102" t="s">
        <v>1</v>
      </c>
      <c r="B2" s="103"/>
      <c r="C2" s="103"/>
      <c r="D2" s="104"/>
    </row>
    <row r="3" spans="1:8" s="5" customFormat="1">
      <c r="A3" s="102" t="s">
        <v>2</v>
      </c>
      <c r="B3" s="103"/>
      <c r="C3" s="103"/>
      <c r="D3" s="104"/>
    </row>
    <row r="4" spans="1:8" s="5" customFormat="1" ht="15.75">
      <c r="A4" s="105" t="s">
        <v>3</v>
      </c>
      <c r="B4" s="106"/>
      <c r="C4" s="106"/>
      <c r="D4" s="107"/>
    </row>
    <row r="5" spans="1:8" s="5" customFormat="1" ht="15.75">
      <c r="A5" s="29"/>
      <c r="B5" s="95"/>
      <c r="C5" s="20" t="s">
        <v>4</v>
      </c>
      <c r="D5" s="86" t="s">
        <v>70</v>
      </c>
      <c r="E5" s="8"/>
      <c r="F5" s="8"/>
      <c r="G5" s="8"/>
      <c r="H5" s="8"/>
    </row>
    <row r="6" spans="1:8" ht="15.75">
      <c r="A6" s="29"/>
      <c r="B6" s="95"/>
      <c r="C6" s="20" t="s">
        <v>5</v>
      </c>
      <c r="D6" s="87">
        <v>44360</v>
      </c>
    </row>
    <row r="7" spans="1:8">
      <c r="A7" s="30" t="s">
        <v>6</v>
      </c>
      <c r="B7" s="26"/>
      <c r="C7" s="31" t="s">
        <v>7</v>
      </c>
      <c r="D7" s="34"/>
    </row>
    <row r="8" spans="1:8" ht="15.75">
      <c r="A8" s="21" t="s">
        <v>8</v>
      </c>
      <c r="B8" s="3"/>
      <c r="C8" s="25" t="s">
        <v>42</v>
      </c>
      <c r="D8" s="69"/>
    </row>
    <row r="9" spans="1:8">
      <c r="A9" s="13" t="s">
        <v>9</v>
      </c>
      <c r="C9" s="25" t="s">
        <v>44</v>
      </c>
      <c r="D9" s="70"/>
    </row>
    <row r="10" spans="1:8" ht="12.75" customHeight="1">
      <c r="A10" s="21" t="s">
        <v>10</v>
      </c>
      <c r="C10" s="25" t="s">
        <v>43</v>
      </c>
      <c r="D10" s="70"/>
    </row>
    <row r="11" spans="1:8">
      <c r="A11" s="21" t="s">
        <v>11</v>
      </c>
      <c r="B11" s="7"/>
      <c r="C11" s="25" t="s">
        <v>41</v>
      </c>
      <c r="D11" s="70"/>
    </row>
    <row r="12" spans="1:8">
      <c r="A12" s="13"/>
      <c r="C12" s="35" t="s">
        <v>40</v>
      </c>
      <c r="D12" s="70"/>
    </row>
    <row r="13" spans="1:8">
      <c r="A13" s="13"/>
      <c r="C13" s="44" t="s">
        <v>77</v>
      </c>
      <c r="D13" s="70"/>
    </row>
    <row r="14" spans="1:8">
      <c r="A14" s="13"/>
      <c r="C14" s="44" t="s">
        <v>46</v>
      </c>
      <c r="D14" s="70"/>
    </row>
    <row r="15" spans="1:8">
      <c r="A15" s="13"/>
      <c r="C15" s="35"/>
      <c r="D15" s="70"/>
    </row>
    <row r="16" spans="1:8">
      <c r="A16" s="33" t="s">
        <v>12</v>
      </c>
      <c r="C16" s="22" t="s">
        <v>13</v>
      </c>
      <c r="D16" s="70"/>
    </row>
    <row r="17" spans="1:5">
      <c r="A17" s="29" t="s">
        <v>14</v>
      </c>
      <c r="C17" s="25" t="s">
        <v>15</v>
      </c>
      <c r="D17" s="70"/>
    </row>
    <row r="18" spans="1:5">
      <c r="A18" s="13"/>
      <c r="C18" s="32" t="s">
        <v>16</v>
      </c>
      <c r="D18" s="70"/>
    </row>
    <row r="19" spans="1:5" s="2" customFormat="1" ht="15.75">
      <c r="A19" s="21"/>
      <c r="B19" s="27"/>
      <c r="C19" s="32" t="s">
        <v>17</v>
      </c>
      <c r="D19" s="71"/>
    </row>
    <row r="20" spans="1:5" s="2" customFormat="1" ht="15.75">
      <c r="A20" s="28"/>
      <c r="B20" s="27"/>
      <c r="C20" s="23"/>
      <c r="D20" s="71"/>
    </row>
    <row r="21" spans="1:5" s="1" customFormat="1" ht="15">
      <c r="A21" s="36" t="s">
        <v>18</v>
      </c>
      <c r="B21" s="37" t="s">
        <v>19</v>
      </c>
      <c r="C21" s="38" t="s">
        <v>20</v>
      </c>
      <c r="D21" s="39" t="s">
        <v>21</v>
      </c>
    </row>
    <row r="22" spans="1:5" s="1" customFormat="1" ht="15">
      <c r="A22" s="40" t="s">
        <v>22</v>
      </c>
      <c r="B22" s="41" t="s">
        <v>23</v>
      </c>
      <c r="C22" s="42"/>
      <c r="D22" s="43" t="s">
        <v>24</v>
      </c>
    </row>
    <row r="23" spans="1:5">
      <c r="A23" s="4"/>
      <c r="B23" s="19" t="s">
        <v>25</v>
      </c>
      <c r="C23" s="6"/>
      <c r="D23" s="74"/>
    </row>
    <row r="24" spans="1:5">
      <c r="A24" s="85" t="s">
        <v>78</v>
      </c>
      <c r="B24" s="59"/>
      <c r="C24" s="58"/>
      <c r="D24" s="75"/>
    </row>
    <row r="25" spans="1:5">
      <c r="A25" s="64" t="s">
        <v>53</v>
      </c>
      <c r="B25" s="57"/>
      <c r="C25" s="63"/>
      <c r="D25" s="75"/>
      <c r="E25" s="82"/>
    </row>
    <row r="26" spans="1:5">
      <c r="A26" s="92"/>
      <c r="B26"/>
      <c r="C26" s="90"/>
      <c r="D26" s="93"/>
      <c r="E26" s="19"/>
    </row>
    <row r="27" spans="1:5">
      <c r="A27" s="68"/>
      <c r="B27" s="59"/>
      <c r="C27" s="58"/>
      <c r="D27" s="75"/>
      <c r="E27" s="67"/>
    </row>
    <row r="28" spans="1:5">
      <c r="A28" s="68"/>
      <c r="B28" s="59"/>
      <c r="C28" s="58"/>
      <c r="D28" s="80"/>
      <c r="E28" s="60"/>
    </row>
    <row r="29" spans="1:5">
      <c r="A29" s="68"/>
      <c r="B29" s="59"/>
      <c r="C29" s="58"/>
      <c r="D29" s="75"/>
      <c r="E29" s="67"/>
    </row>
    <row r="30" spans="1:5">
      <c r="A30" s="68"/>
      <c r="B30" s="59"/>
      <c r="C30" s="58"/>
      <c r="D30" s="75"/>
      <c r="E30" s="67"/>
    </row>
    <row r="31" spans="1:5">
      <c r="A31" s="68"/>
      <c r="B31" s="59"/>
      <c r="C31" s="58"/>
      <c r="D31" s="75"/>
      <c r="E31" s="60"/>
    </row>
    <row r="32" spans="1:5">
      <c r="A32" s="85" t="s">
        <v>78</v>
      </c>
      <c r="B32" s="59"/>
      <c r="C32" s="58"/>
      <c r="D32" s="75"/>
      <c r="E32" s="60"/>
    </row>
    <row r="33" spans="1:6">
      <c r="A33" s="64" t="s">
        <v>48</v>
      </c>
      <c r="B33" s="57"/>
      <c r="C33" s="63"/>
      <c r="D33" s="75"/>
      <c r="E33" s="60"/>
    </row>
    <row r="34" spans="1:6">
      <c r="A34" s="68" t="s">
        <v>71</v>
      </c>
      <c r="B34" s="59" t="s">
        <v>80</v>
      </c>
      <c r="C34" s="58" t="s">
        <v>72</v>
      </c>
      <c r="D34" s="75">
        <v>4700000</v>
      </c>
      <c r="E34" s="67" t="s">
        <v>73</v>
      </c>
    </row>
    <row r="35" spans="1:6">
      <c r="A35" s="68" t="s">
        <v>74</v>
      </c>
      <c r="B35" s="59" t="s">
        <v>81</v>
      </c>
      <c r="C35" s="58" t="s">
        <v>75</v>
      </c>
      <c r="D35" s="75">
        <v>5150000</v>
      </c>
      <c r="E35" s="60" t="s">
        <v>76</v>
      </c>
    </row>
    <row r="36" spans="1:6">
      <c r="A36" s="68"/>
      <c r="B36" s="78"/>
      <c r="C36" s="79"/>
      <c r="D36" s="75"/>
      <c r="E36"/>
    </row>
    <row r="37" spans="1:6">
      <c r="A37" s="68"/>
      <c r="B37" s="59"/>
      <c r="C37" s="58"/>
      <c r="D37" s="75"/>
      <c r="E37" s="60"/>
    </row>
    <row r="38" spans="1:6">
      <c r="A38" s="68"/>
      <c r="B38" s="57"/>
      <c r="C38" s="63"/>
      <c r="D38" s="75"/>
      <c r="E38"/>
    </row>
    <row r="39" spans="1:6">
      <c r="A39" s="68"/>
      <c r="B39" s="59"/>
      <c r="C39" s="58"/>
      <c r="D39" s="75"/>
      <c r="E39" s="83"/>
      <c r="F39" s="84"/>
    </row>
    <row r="40" spans="1:6">
      <c r="A40" s="68"/>
      <c r="B40" s="59"/>
      <c r="C40" s="58"/>
      <c r="D40" s="75"/>
      <c r="E40"/>
    </row>
    <row r="41" spans="1:6">
      <c r="A41" s="68"/>
      <c r="B41" s="59"/>
      <c r="C41" s="58"/>
      <c r="D41" s="75"/>
      <c r="E41" s="81"/>
    </row>
    <row r="42" spans="1:6">
      <c r="A42" s="68"/>
      <c r="B42" s="59"/>
      <c r="C42" s="58"/>
      <c r="D42" s="75"/>
      <c r="E42" s="67"/>
    </row>
    <row r="43" spans="1:6">
      <c r="A43" s="68"/>
      <c r="B43" s="78"/>
      <c r="C43" s="58"/>
      <c r="D43" s="75"/>
      <c r="E43" s="67"/>
    </row>
    <row r="44" spans="1:6">
      <c r="A44" s="68"/>
      <c r="B44" s="78"/>
      <c r="C44" s="58"/>
      <c r="D44" s="75"/>
      <c r="E44" s="60"/>
    </row>
    <row r="45" spans="1:6">
      <c r="A45" s="68"/>
      <c r="B45" s="78"/>
      <c r="C45" s="58"/>
      <c r="D45" s="75"/>
    </row>
    <row r="46" spans="1:6">
      <c r="A46" s="68"/>
      <c r="B46" s="59"/>
      <c r="C46" s="58"/>
      <c r="D46" s="75"/>
      <c r="E46" s="60"/>
      <c r="F46" s="65"/>
    </row>
    <row r="47" spans="1:6">
      <c r="A47" s="68"/>
      <c r="B47" s="59"/>
      <c r="C47" s="58"/>
      <c r="D47" s="75"/>
      <c r="E47" s="60"/>
      <c r="F47" s="65"/>
    </row>
    <row r="48" spans="1:6">
      <c r="A48" s="4"/>
      <c r="B48" s="62"/>
      <c r="C48" s="61"/>
      <c r="D48" s="75"/>
      <c r="E48" s="81"/>
      <c r="F48" s="65"/>
    </row>
    <row r="49" spans="1:6">
      <c r="A49" s="4"/>
      <c r="B49" s="62"/>
      <c r="C49" s="61"/>
      <c r="D49" s="75"/>
      <c r="E49" s="60"/>
    </row>
    <row r="50" spans="1:6">
      <c r="A50" s="68"/>
      <c r="B50" s="59"/>
      <c r="C50" s="58"/>
      <c r="D50" s="75"/>
      <c r="E50" s="60"/>
    </row>
    <row r="51" spans="1:6">
      <c r="A51" s="4"/>
      <c r="C51" s="12"/>
      <c r="D51" s="74"/>
    </row>
    <row r="52" spans="1:6">
      <c r="A52" s="4"/>
      <c r="B52" s="66"/>
      <c r="C52" s="61"/>
      <c r="D52" s="76"/>
      <c r="E52" s="67"/>
    </row>
    <row r="53" spans="1:6">
      <c r="A53" s="11" t="s">
        <v>26</v>
      </c>
      <c r="B53" s="62"/>
      <c r="C53" s="61"/>
      <c r="D53" s="75"/>
      <c r="E53" s="60"/>
      <c r="F53" s="65"/>
    </row>
    <row r="54" spans="1:6">
      <c r="A54" s="4"/>
      <c r="B54" s="62" t="s">
        <v>64</v>
      </c>
      <c r="C54" s="61"/>
      <c r="D54" s="75">
        <v>0</v>
      </c>
      <c r="E54" s="60"/>
      <c r="F54" s="65"/>
    </row>
    <row r="55" spans="1:6">
      <c r="A55" s="4"/>
      <c r="B55" s="62"/>
      <c r="C55" s="61"/>
      <c r="D55" s="75"/>
      <c r="E55" s="60"/>
      <c r="F55" s="65"/>
    </row>
    <row r="56" spans="1:6">
      <c r="A56" s="4"/>
      <c r="B56" s="62"/>
      <c r="C56" s="61"/>
      <c r="D56" s="75"/>
      <c r="E56" s="60"/>
      <c r="F56" s="65"/>
    </row>
    <row r="57" spans="1:6">
      <c r="A57" s="4"/>
      <c r="B57" s="62"/>
      <c r="C57" s="61"/>
      <c r="D57" s="75"/>
      <c r="E57" s="60"/>
      <c r="F57" s="65"/>
    </row>
    <row r="58" spans="1:6">
      <c r="A58" s="4"/>
      <c r="B58" s="62"/>
      <c r="C58" s="61"/>
      <c r="D58" s="74"/>
      <c r="E58" s="60"/>
      <c r="F58" s="65"/>
    </row>
    <row r="59" spans="1:6">
      <c r="A59" s="45"/>
      <c r="B59" s="46"/>
      <c r="C59" s="47"/>
      <c r="D59" s="77"/>
    </row>
    <row r="60" spans="1:6" s="1" customFormat="1" ht="15">
      <c r="A60" s="48" t="s">
        <v>27</v>
      </c>
      <c r="B60" s="49"/>
      <c r="C60" s="50"/>
      <c r="D60" s="89">
        <f>SUM(D23:D59)</f>
        <v>9850000</v>
      </c>
    </row>
    <row r="61" spans="1:6" ht="15">
      <c r="A61" s="108" t="s">
        <v>28</v>
      </c>
      <c r="B61" s="109"/>
      <c r="C61" s="14" t="s">
        <v>29</v>
      </c>
      <c r="D61" s="72"/>
    </row>
    <row r="62" spans="1:6" ht="15">
      <c r="A62" s="24" t="s">
        <v>30</v>
      </c>
      <c r="B62"/>
      <c r="C62" s="15"/>
      <c r="D62" s="72"/>
    </row>
    <row r="63" spans="1:6" s="1" customFormat="1" ht="15">
      <c r="A63" s="51" t="s">
        <v>31</v>
      </c>
      <c r="B63"/>
      <c r="C63" s="14"/>
      <c r="D63" s="72"/>
    </row>
    <row r="64" spans="1:6" ht="15">
      <c r="A64" s="51" t="s">
        <v>32</v>
      </c>
      <c r="B64"/>
      <c r="C64" s="16"/>
      <c r="D64" s="72"/>
    </row>
    <row r="65" spans="1:4" s="1" customFormat="1" ht="14.25">
      <c r="A65" s="51" t="s">
        <v>33</v>
      </c>
      <c r="B65"/>
      <c r="C65" s="17"/>
      <c r="D65" s="72"/>
    </row>
    <row r="66" spans="1:4" s="1" customFormat="1" ht="14.25">
      <c r="A66" s="52" t="s">
        <v>34</v>
      </c>
      <c r="B66"/>
      <c r="C66" s="16"/>
      <c r="D66" s="72"/>
    </row>
    <row r="67" spans="1:4" s="1" customFormat="1" ht="14.25">
      <c r="A67" s="51" t="s">
        <v>35</v>
      </c>
      <c r="B67"/>
      <c r="C67" s="18" t="s">
        <v>36</v>
      </c>
      <c r="D67" s="72"/>
    </row>
    <row r="68" spans="1:4" s="1" customFormat="1" ht="14.25">
      <c r="A68" s="18" t="s">
        <v>37</v>
      </c>
      <c r="B68"/>
      <c r="C68" s="13" t="s">
        <v>38</v>
      </c>
      <c r="D68" s="73"/>
    </row>
    <row r="69" spans="1:4" s="1" customFormat="1" ht="14.25">
      <c r="A69" s="53"/>
      <c r="B69" s="54"/>
      <c r="C69" s="55" t="s">
        <v>39</v>
      </c>
      <c r="D69" s="56"/>
    </row>
  </sheetData>
  <mergeCells count="5">
    <mergeCell ref="A1:D1"/>
    <mergeCell ref="A2:D2"/>
    <mergeCell ref="A3:D3"/>
    <mergeCell ref="A4:D4"/>
    <mergeCell ref="A61:B61"/>
  </mergeCells>
  <printOptions horizontalCentered="1" verticalCentered="1"/>
  <pageMargins left="0.25" right="0.25" top="0.25" bottom="0.25" header="0" footer="0"/>
  <pageSetup paperSize="9" scale="87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25345-79AD-45BA-9BCF-DB1ADDB8692F}">
  <sheetPr>
    <pageSetUpPr fitToPage="1"/>
  </sheetPr>
  <dimension ref="A1:H69"/>
  <sheetViews>
    <sheetView topLeftCell="A7" workbookViewId="0">
      <selection activeCell="C14" sqref="C14"/>
    </sheetView>
  </sheetViews>
  <sheetFormatPr defaultColWidth="9.140625" defaultRowHeight="12.75"/>
  <cols>
    <col min="1" max="1" width="17.42578125" style="5" customWidth="1"/>
    <col min="2" max="2" width="51.85546875" style="5" customWidth="1"/>
    <col min="3" max="3" width="24.7109375" style="9" customWidth="1"/>
    <col min="4" max="4" width="18.28515625" style="10" customWidth="1"/>
    <col min="5" max="5" width="18" style="8" customWidth="1"/>
    <col min="6" max="16384" width="9.140625" style="8"/>
  </cols>
  <sheetData>
    <row r="1" spans="1:8" s="5" customFormat="1" ht="34.5">
      <c r="A1" s="99" t="s">
        <v>0</v>
      </c>
      <c r="B1" s="100"/>
      <c r="C1" s="100"/>
      <c r="D1" s="101"/>
    </row>
    <row r="2" spans="1:8" s="5" customFormat="1">
      <c r="A2" s="102" t="s">
        <v>1</v>
      </c>
      <c r="B2" s="103"/>
      <c r="C2" s="103"/>
      <c r="D2" s="104"/>
    </row>
    <row r="3" spans="1:8" s="5" customFormat="1">
      <c r="A3" s="102" t="s">
        <v>2</v>
      </c>
      <c r="B3" s="103"/>
      <c r="C3" s="103"/>
      <c r="D3" s="104"/>
    </row>
    <row r="4" spans="1:8" s="5" customFormat="1" ht="15.75">
      <c r="A4" s="105" t="s">
        <v>3</v>
      </c>
      <c r="B4" s="106"/>
      <c r="C4" s="106"/>
      <c r="D4" s="107"/>
    </row>
    <row r="5" spans="1:8" s="5" customFormat="1" ht="15.75">
      <c r="A5" s="29"/>
      <c r="B5" s="94"/>
      <c r="C5" s="20" t="s">
        <v>4</v>
      </c>
      <c r="D5" s="86" t="s">
        <v>69</v>
      </c>
      <c r="E5" s="8"/>
      <c r="F5" s="8"/>
      <c r="G5" s="8"/>
      <c r="H5" s="8"/>
    </row>
    <row r="6" spans="1:8" ht="15.75">
      <c r="A6" s="29"/>
      <c r="B6" s="94"/>
      <c r="C6" s="20" t="s">
        <v>5</v>
      </c>
      <c r="D6" s="87">
        <v>44360</v>
      </c>
    </row>
    <row r="7" spans="1:8">
      <c r="A7" s="30" t="s">
        <v>6</v>
      </c>
      <c r="B7" s="26"/>
      <c r="C7" s="31" t="s">
        <v>7</v>
      </c>
      <c r="D7" s="34"/>
    </row>
    <row r="8" spans="1:8" ht="15.75">
      <c r="A8" s="21" t="s">
        <v>8</v>
      </c>
      <c r="B8" s="3"/>
      <c r="C8" s="25" t="s">
        <v>42</v>
      </c>
      <c r="D8" s="69"/>
    </row>
    <row r="9" spans="1:8">
      <c r="A9" s="13" t="s">
        <v>9</v>
      </c>
      <c r="C9" s="25" t="s">
        <v>44</v>
      </c>
      <c r="D9" s="70"/>
    </row>
    <row r="10" spans="1:8" ht="12.75" customHeight="1">
      <c r="A10" s="21" t="s">
        <v>10</v>
      </c>
      <c r="C10" s="25" t="s">
        <v>43</v>
      </c>
      <c r="D10" s="70"/>
    </row>
    <row r="11" spans="1:8">
      <c r="A11" s="21" t="s">
        <v>11</v>
      </c>
      <c r="B11" s="7"/>
      <c r="C11" s="25" t="s">
        <v>41</v>
      </c>
      <c r="D11" s="70"/>
    </row>
    <row r="12" spans="1:8">
      <c r="A12" s="13"/>
      <c r="C12" s="35" t="s">
        <v>40</v>
      </c>
      <c r="D12" s="70"/>
    </row>
    <row r="13" spans="1:8">
      <c r="A13" s="13"/>
      <c r="C13" s="44" t="s">
        <v>83</v>
      </c>
      <c r="D13" s="70"/>
    </row>
    <row r="14" spans="1:8">
      <c r="A14" s="13"/>
      <c r="C14" s="44" t="s">
        <v>46</v>
      </c>
      <c r="D14" s="70"/>
    </row>
    <row r="15" spans="1:8">
      <c r="A15" s="13"/>
      <c r="C15" s="35"/>
      <c r="D15" s="70"/>
    </row>
    <row r="16" spans="1:8">
      <c r="A16" s="33" t="s">
        <v>12</v>
      </c>
      <c r="C16" s="22" t="s">
        <v>13</v>
      </c>
      <c r="D16" s="70"/>
    </row>
    <row r="17" spans="1:5">
      <c r="A17" s="29" t="s">
        <v>14</v>
      </c>
      <c r="C17" s="25" t="s">
        <v>15</v>
      </c>
      <c r="D17" s="70"/>
    </row>
    <row r="18" spans="1:5">
      <c r="A18" s="13"/>
      <c r="C18" s="32" t="s">
        <v>16</v>
      </c>
      <c r="D18" s="70"/>
    </row>
    <row r="19" spans="1:5" s="2" customFormat="1" ht="15.75">
      <c r="A19" s="21"/>
      <c r="B19" s="27"/>
      <c r="C19" s="32" t="s">
        <v>17</v>
      </c>
      <c r="D19" s="71"/>
    </row>
    <row r="20" spans="1:5" s="2" customFormat="1" ht="15.75">
      <c r="A20" s="28"/>
      <c r="B20" s="27"/>
      <c r="C20" s="23"/>
      <c r="D20" s="71"/>
    </row>
    <row r="21" spans="1:5" s="1" customFormat="1" ht="15">
      <c r="A21" s="36" t="s">
        <v>18</v>
      </c>
      <c r="B21" s="37" t="s">
        <v>19</v>
      </c>
      <c r="C21" s="38" t="s">
        <v>20</v>
      </c>
      <c r="D21" s="39" t="s">
        <v>21</v>
      </c>
    </row>
    <row r="22" spans="1:5" s="1" customFormat="1" ht="15">
      <c r="A22" s="40" t="s">
        <v>22</v>
      </c>
      <c r="B22" s="41" t="s">
        <v>23</v>
      </c>
      <c r="C22" s="42"/>
      <c r="D22" s="43" t="s">
        <v>24</v>
      </c>
    </row>
    <row r="23" spans="1:5">
      <c r="A23" s="4"/>
      <c r="B23" s="19" t="s">
        <v>25</v>
      </c>
      <c r="C23" s="6"/>
      <c r="D23" s="74"/>
    </row>
    <row r="24" spans="1:5">
      <c r="A24" s="85" t="s">
        <v>47</v>
      </c>
      <c r="B24" s="59"/>
      <c r="C24" s="58"/>
      <c r="D24" s="75"/>
    </row>
    <row r="25" spans="1:5">
      <c r="A25" s="64" t="s">
        <v>82</v>
      </c>
      <c r="B25" s="57"/>
      <c r="C25" s="63"/>
      <c r="D25" s="75"/>
      <c r="E25" s="82"/>
    </row>
    <row r="26" spans="1:5">
      <c r="A26" s="92">
        <v>5501084</v>
      </c>
      <c r="B26" t="s">
        <v>61</v>
      </c>
      <c r="C26" s="90" t="s">
        <v>62</v>
      </c>
      <c r="D26" s="93">
        <v>575000</v>
      </c>
      <c r="E26" s="19" t="s">
        <v>65</v>
      </c>
    </row>
    <row r="27" spans="1:5">
      <c r="A27" s="68"/>
      <c r="B27" s="59"/>
      <c r="C27" s="58"/>
      <c r="D27" s="75"/>
      <c r="E27" s="67"/>
    </row>
    <row r="28" spans="1:5">
      <c r="A28" s="68"/>
      <c r="B28" s="59"/>
      <c r="C28" s="58"/>
      <c r="D28" s="80"/>
      <c r="E28" s="60"/>
    </row>
    <row r="29" spans="1:5">
      <c r="A29" s="68"/>
      <c r="B29" s="59"/>
      <c r="C29" s="58"/>
      <c r="D29" s="75"/>
      <c r="E29" s="67"/>
    </row>
    <row r="30" spans="1:5">
      <c r="A30" s="68"/>
      <c r="B30" s="59"/>
      <c r="C30" s="58"/>
      <c r="D30" s="75"/>
      <c r="E30" s="67"/>
    </row>
    <row r="31" spans="1:5">
      <c r="A31" s="68"/>
      <c r="B31" s="59"/>
      <c r="C31" s="58"/>
      <c r="D31" s="75"/>
      <c r="E31" s="60"/>
    </row>
    <row r="32" spans="1:5">
      <c r="A32" s="85" t="s">
        <v>63</v>
      </c>
      <c r="B32" s="59"/>
      <c r="C32" s="58"/>
      <c r="D32" s="75"/>
      <c r="E32" s="60"/>
    </row>
    <row r="33" spans="1:6">
      <c r="A33" s="64" t="s">
        <v>79</v>
      </c>
      <c r="B33" s="57"/>
      <c r="C33" s="63"/>
      <c r="D33" s="75"/>
      <c r="E33" s="60"/>
    </row>
    <row r="34" spans="1:6">
      <c r="A34" s="68" t="s">
        <v>66</v>
      </c>
      <c r="B34" s="59" t="s">
        <v>67</v>
      </c>
      <c r="C34" s="58" t="s">
        <v>68</v>
      </c>
      <c r="D34" s="75">
        <v>550000</v>
      </c>
      <c r="E34" s="67" t="s">
        <v>65</v>
      </c>
    </row>
    <row r="35" spans="1:6">
      <c r="A35" s="68"/>
      <c r="B35" s="59"/>
      <c r="C35" s="58"/>
      <c r="D35" s="75"/>
      <c r="E35" s="60"/>
    </row>
    <row r="36" spans="1:6">
      <c r="A36" s="68"/>
      <c r="B36" s="78"/>
      <c r="C36" s="79"/>
      <c r="D36" s="75"/>
      <c r="E36"/>
    </row>
    <row r="37" spans="1:6">
      <c r="A37" s="68"/>
      <c r="B37" s="59"/>
      <c r="C37" s="58"/>
      <c r="D37" s="75"/>
      <c r="E37" s="60"/>
    </row>
    <row r="38" spans="1:6">
      <c r="A38" s="68"/>
      <c r="B38" s="57"/>
      <c r="C38" s="63"/>
      <c r="D38" s="75"/>
      <c r="E38"/>
    </row>
    <row r="39" spans="1:6">
      <c r="A39" s="68"/>
      <c r="B39" s="59"/>
      <c r="C39" s="58"/>
      <c r="D39" s="75"/>
      <c r="E39" s="83"/>
      <c r="F39" s="84"/>
    </row>
    <row r="40" spans="1:6">
      <c r="A40" s="68"/>
      <c r="B40" s="59"/>
      <c r="C40" s="58"/>
      <c r="D40" s="75"/>
      <c r="E40"/>
    </row>
    <row r="41" spans="1:6">
      <c r="A41" s="68"/>
      <c r="B41" s="59"/>
      <c r="C41" s="58"/>
      <c r="D41" s="75"/>
      <c r="E41" s="81"/>
    </row>
    <row r="42" spans="1:6">
      <c r="A42" s="68"/>
      <c r="B42" s="59"/>
      <c r="C42" s="58"/>
      <c r="D42" s="75"/>
      <c r="E42" s="67"/>
    </row>
    <row r="43" spans="1:6">
      <c r="A43" s="68"/>
      <c r="B43" s="78"/>
      <c r="C43" s="58"/>
      <c r="D43" s="75"/>
      <c r="E43" s="67"/>
    </row>
    <row r="44" spans="1:6">
      <c r="A44" s="68"/>
      <c r="B44" s="78"/>
      <c r="C44" s="58"/>
      <c r="D44" s="75"/>
      <c r="E44" s="60"/>
    </row>
    <row r="45" spans="1:6">
      <c r="A45" s="68"/>
      <c r="B45" s="78"/>
      <c r="C45" s="58"/>
      <c r="D45" s="75"/>
    </row>
    <row r="46" spans="1:6">
      <c r="A46" s="68"/>
      <c r="B46" s="59"/>
      <c r="C46" s="58"/>
      <c r="D46" s="75"/>
      <c r="E46" s="60"/>
      <c r="F46" s="65"/>
    </row>
    <row r="47" spans="1:6">
      <c r="A47" s="68"/>
      <c r="B47" s="59"/>
      <c r="C47" s="58"/>
      <c r="D47" s="75"/>
      <c r="E47" s="60"/>
      <c r="F47" s="65"/>
    </row>
    <row r="48" spans="1:6">
      <c r="A48" s="4"/>
      <c r="B48" s="62"/>
      <c r="C48" s="61"/>
      <c r="D48" s="75"/>
      <c r="E48" s="81"/>
      <c r="F48" s="65"/>
    </row>
    <row r="49" spans="1:6">
      <c r="A49" s="4"/>
      <c r="B49" s="62"/>
      <c r="C49" s="61"/>
      <c r="D49" s="75"/>
      <c r="E49" s="60"/>
    </row>
    <row r="50" spans="1:6">
      <c r="A50" s="68"/>
      <c r="B50" s="59"/>
      <c r="C50" s="58"/>
      <c r="D50" s="75"/>
      <c r="E50" s="60"/>
    </row>
    <row r="51" spans="1:6">
      <c r="A51" s="4"/>
      <c r="C51" s="12"/>
      <c r="D51" s="74"/>
    </row>
    <row r="52" spans="1:6">
      <c r="A52" s="4"/>
      <c r="B52" s="66"/>
      <c r="C52" s="61"/>
      <c r="D52" s="76"/>
      <c r="E52" s="67"/>
    </row>
    <row r="53" spans="1:6">
      <c r="A53" s="11" t="s">
        <v>26</v>
      </c>
      <c r="B53" s="62"/>
      <c r="C53" s="61"/>
      <c r="D53" s="75"/>
      <c r="E53" s="60"/>
      <c r="F53" s="65"/>
    </row>
    <row r="54" spans="1:6">
      <c r="A54" s="4"/>
      <c r="B54" s="62" t="s">
        <v>64</v>
      </c>
      <c r="C54" s="61"/>
      <c r="D54" s="75">
        <v>0</v>
      </c>
      <c r="E54" s="60"/>
      <c r="F54" s="65"/>
    </row>
    <row r="55" spans="1:6">
      <c r="A55" s="4"/>
      <c r="B55" s="62"/>
      <c r="C55" s="61"/>
      <c r="D55" s="75"/>
      <c r="E55" s="60"/>
      <c r="F55" s="65"/>
    </row>
    <row r="56" spans="1:6">
      <c r="A56" s="4"/>
      <c r="B56" s="62"/>
      <c r="C56" s="61"/>
      <c r="D56" s="75"/>
      <c r="E56" s="60"/>
      <c r="F56" s="65"/>
    </row>
    <row r="57" spans="1:6">
      <c r="A57" s="4"/>
      <c r="B57" s="62"/>
      <c r="C57" s="61"/>
      <c r="D57" s="75"/>
      <c r="E57" s="60"/>
      <c r="F57" s="65"/>
    </row>
    <row r="58" spans="1:6">
      <c r="A58" s="4"/>
      <c r="B58" s="62"/>
      <c r="C58" s="61"/>
      <c r="D58" s="74"/>
      <c r="E58" s="60"/>
      <c r="F58" s="65"/>
    </row>
    <row r="59" spans="1:6">
      <c r="A59" s="45"/>
      <c r="B59" s="46"/>
      <c r="C59" s="47"/>
      <c r="D59" s="77"/>
    </row>
    <row r="60" spans="1:6" s="1" customFormat="1" ht="15">
      <c r="A60" s="48" t="s">
        <v>27</v>
      </c>
      <c r="B60" s="49"/>
      <c r="C60" s="50"/>
      <c r="D60" s="89">
        <f>SUM(D23:D59)</f>
        <v>1125000</v>
      </c>
    </row>
    <row r="61" spans="1:6" ht="15">
      <c r="A61" s="108" t="s">
        <v>28</v>
      </c>
      <c r="B61" s="109"/>
      <c r="C61" s="14" t="s">
        <v>29</v>
      </c>
      <c r="D61" s="72"/>
    </row>
    <row r="62" spans="1:6" ht="15">
      <c r="A62" s="24" t="s">
        <v>30</v>
      </c>
      <c r="B62"/>
      <c r="C62" s="15"/>
      <c r="D62" s="72"/>
    </row>
    <row r="63" spans="1:6" s="1" customFormat="1" ht="15">
      <c r="A63" s="51" t="s">
        <v>31</v>
      </c>
      <c r="B63"/>
      <c r="C63" s="14"/>
      <c r="D63" s="72"/>
    </row>
    <row r="64" spans="1:6" ht="15">
      <c r="A64" s="51" t="s">
        <v>32</v>
      </c>
      <c r="B64"/>
      <c r="C64" s="16"/>
      <c r="D64" s="72"/>
    </row>
    <row r="65" spans="1:4" s="1" customFormat="1" ht="14.25">
      <c r="A65" s="51" t="s">
        <v>33</v>
      </c>
      <c r="B65"/>
      <c r="C65" s="17"/>
      <c r="D65" s="72"/>
    </row>
    <row r="66" spans="1:4" s="1" customFormat="1" ht="14.25">
      <c r="A66" s="52" t="s">
        <v>34</v>
      </c>
      <c r="B66"/>
      <c r="C66" s="16"/>
      <c r="D66" s="72"/>
    </row>
    <row r="67" spans="1:4" s="1" customFormat="1" ht="14.25">
      <c r="A67" s="51" t="s">
        <v>35</v>
      </c>
      <c r="B67"/>
      <c r="C67" s="18" t="s">
        <v>36</v>
      </c>
      <c r="D67" s="72"/>
    </row>
    <row r="68" spans="1:4" s="1" customFormat="1" ht="14.25">
      <c r="A68" s="18" t="s">
        <v>37</v>
      </c>
      <c r="B68"/>
      <c r="C68" s="13" t="s">
        <v>38</v>
      </c>
      <c r="D68" s="73"/>
    </row>
    <row r="69" spans="1:4" s="1" customFormat="1" ht="14.25">
      <c r="A69" s="53"/>
      <c r="B69" s="54"/>
      <c r="C69" s="55" t="s">
        <v>39</v>
      </c>
      <c r="D69" s="56"/>
    </row>
  </sheetData>
  <mergeCells count="5">
    <mergeCell ref="A1:D1"/>
    <mergeCell ref="A2:D2"/>
    <mergeCell ref="A3:D3"/>
    <mergeCell ref="A4:D4"/>
    <mergeCell ref="A61:B61"/>
  </mergeCells>
  <printOptions horizontalCentered="1" verticalCentered="1"/>
  <pageMargins left="0.25" right="0.25" top="0.25" bottom="0.25" header="0" footer="0"/>
  <pageSetup paperSize="9" scale="87"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3C1BA-8883-4D70-B30B-44F3F55281E0}">
  <sheetPr>
    <pageSetUpPr fitToPage="1"/>
  </sheetPr>
  <dimension ref="A1:H69"/>
  <sheetViews>
    <sheetView workbookViewId="0">
      <selection activeCell="A26" sqref="A26"/>
    </sheetView>
  </sheetViews>
  <sheetFormatPr defaultColWidth="9.140625" defaultRowHeight="12.75"/>
  <cols>
    <col min="1" max="1" width="17.42578125" style="5" customWidth="1"/>
    <col min="2" max="2" width="51.85546875" style="5" customWidth="1"/>
    <col min="3" max="3" width="24.7109375" style="9" customWidth="1"/>
    <col min="4" max="4" width="18.28515625" style="10" customWidth="1"/>
    <col min="5" max="5" width="18" style="8" customWidth="1"/>
    <col min="6" max="16384" width="9.140625" style="8"/>
  </cols>
  <sheetData>
    <row r="1" spans="1:8" s="5" customFormat="1" ht="34.5">
      <c r="A1" s="99" t="s">
        <v>0</v>
      </c>
      <c r="B1" s="100"/>
      <c r="C1" s="100"/>
      <c r="D1" s="101"/>
    </row>
    <row r="2" spans="1:8" s="5" customFormat="1">
      <c r="A2" s="102" t="s">
        <v>1</v>
      </c>
      <c r="B2" s="103"/>
      <c r="C2" s="103"/>
      <c r="D2" s="104"/>
    </row>
    <row r="3" spans="1:8" s="5" customFormat="1">
      <c r="A3" s="102" t="s">
        <v>2</v>
      </c>
      <c r="B3" s="103"/>
      <c r="C3" s="103"/>
      <c r="D3" s="104"/>
    </row>
    <row r="4" spans="1:8" s="5" customFormat="1" ht="15.75">
      <c r="A4" s="105" t="s">
        <v>3</v>
      </c>
      <c r="B4" s="106"/>
      <c r="C4" s="106"/>
      <c r="D4" s="107"/>
    </row>
    <row r="5" spans="1:8" s="5" customFormat="1" ht="15.75">
      <c r="A5" s="29"/>
      <c r="B5" s="91"/>
      <c r="C5" s="20" t="s">
        <v>4</v>
      </c>
      <c r="D5" s="86" t="s">
        <v>58</v>
      </c>
      <c r="E5" s="8"/>
      <c r="F5" s="8"/>
      <c r="G5" s="8"/>
      <c r="H5" s="8"/>
    </row>
    <row r="6" spans="1:8" ht="15.75">
      <c r="A6" s="29"/>
      <c r="B6" s="91"/>
      <c r="C6" s="20" t="s">
        <v>5</v>
      </c>
      <c r="D6" s="87">
        <v>44258</v>
      </c>
    </row>
    <row r="7" spans="1:8">
      <c r="A7" s="30" t="s">
        <v>6</v>
      </c>
      <c r="B7" s="26"/>
      <c r="C7" s="31" t="s">
        <v>7</v>
      </c>
      <c r="D7" s="34"/>
    </row>
    <row r="8" spans="1:8" ht="15.75">
      <c r="A8" s="21" t="s">
        <v>8</v>
      </c>
      <c r="B8" s="3"/>
      <c r="C8" s="25" t="s">
        <v>42</v>
      </c>
      <c r="D8" s="69"/>
    </row>
    <row r="9" spans="1:8">
      <c r="A9" s="13" t="s">
        <v>9</v>
      </c>
      <c r="C9" s="25" t="s">
        <v>44</v>
      </c>
      <c r="D9" s="70"/>
    </row>
    <row r="10" spans="1:8" ht="12.75" customHeight="1">
      <c r="A10" s="21" t="s">
        <v>10</v>
      </c>
      <c r="C10" s="25" t="s">
        <v>54</v>
      </c>
      <c r="D10" s="70"/>
    </row>
    <row r="11" spans="1:8">
      <c r="A11" s="21" t="s">
        <v>11</v>
      </c>
      <c r="B11" s="7"/>
      <c r="C11" s="25" t="s">
        <v>41</v>
      </c>
      <c r="D11" s="70"/>
    </row>
    <row r="12" spans="1:8">
      <c r="A12" s="13"/>
      <c r="C12" s="35" t="s">
        <v>40</v>
      </c>
      <c r="D12" s="70"/>
    </row>
    <row r="13" spans="1:8">
      <c r="A13" s="13"/>
      <c r="C13" s="44" t="s">
        <v>45</v>
      </c>
      <c r="D13" s="70"/>
    </row>
    <row r="14" spans="1:8">
      <c r="A14" s="13"/>
      <c r="C14" s="44" t="s">
        <v>46</v>
      </c>
      <c r="D14" s="70"/>
    </row>
    <row r="15" spans="1:8">
      <c r="A15" s="13"/>
      <c r="C15" s="35"/>
      <c r="D15" s="70"/>
    </row>
    <row r="16" spans="1:8">
      <c r="A16" s="33" t="s">
        <v>12</v>
      </c>
      <c r="C16" s="22" t="s">
        <v>13</v>
      </c>
      <c r="D16" s="70"/>
    </row>
    <row r="17" spans="1:5">
      <c r="A17" s="29" t="s">
        <v>14</v>
      </c>
      <c r="C17" s="25" t="s">
        <v>15</v>
      </c>
      <c r="D17" s="70"/>
    </row>
    <row r="18" spans="1:5">
      <c r="A18" s="13"/>
      <c r="C18" s="32" t="s">
        <v>16</v>
      </c>
      <c r="D18" s="70"/>
    </row>
    <row r="19" spans="1:5" s="2" customFormat="1" ht="15.75">
      <c r="A19" s="21"/>
      <c r="B19" s="27"/>
      <c r="C19" s="32" t="s">
        <v>17</v>
      </c>
      <c r="D19" s="71"/>
    </row>
    <row r="20" spans="1:5" s="2" customFormat="1" ht="15.75">
      <c r="A20" s="28"/>
      <c r="B20" s="27"/>
      <c r="C20" s="23"/>
      <c r="D20" s="71"/>
    </row>
    <row r="21" spans="1:5" s="1" customFormat="1" ht="15">
      <c r="A21" s="36" t="s">
        <v>18</v>
      </c>
      <c r="B21" s="37" t="s">
        <v>19</v>
      </c>
      <c r="C21" s="38" t="s">
        <v>20</v>
      </c>
      <c r="D21" s="39" t="s">
        <v>21</v>
      </c>
    </row>
    <row r="22" spans="1:5" s="1" customFormat="1" ht="15">
      <c r="A22" s="40" t="s">
        <v>22</v>
      </c>
      <c r="B22" s="41" t="s">
        <v>23</v>
      </c>
      <c r="C22" s="42"/>
      <c r="D22" s="43" t="s">
        <v>24</v>
      </c>
    </row>
    <row r="23" spans="1:5">
      <c r="A23" s="4"/>
      <c r="B23" s="19" t="s">
        <v>25</v>
      </c>
      <c r="C23" s="6"/>
      <c r="D23" s="74"/>
    </row>
    <row r="24" spans="1:5">
      <c r="A24" s="85" t="s">
        <v>47</v>
      </c>
      <c r="B24" s="59"/>
      <c r="C24" s="58"/>
      <c r="D24" s="75"/>
    </row>
    <row r="25" spans="1:5">
      <c r="A25" s="64" t="s">
        <v>84</v>
      </c>
      <c r="B25" s="57"/>
      <c r="C25" s="63"/>
      <c r="D25" s="75"/>
      <c r="E25" s="82"/>
    </row>
    <row r="26" spans="1:5">
      <c r="A26" s="92">
        <v>5503020</v>
      </c>
      <c r="B26" t="s">
        <v>57</v>
      </c>
      <c r="C26" s="90" t="s">
        <v>55</v>
      </c>
      <c r="D26" s="93">
        <v>4900000</v>
      </c>
      <c r="E26" s="19" t="s">
        <v>56</v>
      </c>
    </row>
    <row r="27" spans="1:5">
      <c r="A27" s="68"/>
      <c r="B27" s="59"/>
      <c r="C27" s="58"/>
      <c r="D27" s="75"/>
      <c r="E27" s="67"/>
    </row>
    <row r="28" spans="1:5">
      <c r="A28" s="68"/>
      <c r="B28" s="59"/>
      <c r="C28" s="58"/>
      <c r="D28" s="80"/>
      <c r="E28" s="60"/>
    </row>
    <row r="29" spans="1:5">
      <c r="A29" s="68"/>
      <c r="B29" s="59"/>
      <c r="C29" s="58"/>
      <c r="D29" s="75"/>
      <c r="E29" s="67"/>
    </row>
    <row r="30" spans="1:5">
      <c r="A30" s="68"/>
      <c r="B30" s="59"/>
      <c r="C30" s="58"/>
      <c r="D30" s="75"/>
      <c r="E30" s="67"/>
    </row>
    <row r="31" spans="1:5">
      <c r="A31" s="68"/>
      <c r="B31" s="59"/>
      <c r="C31" s="58"/>
      <c r="D31" s="75"/>
      <c r="E31" s="60"/>
    </row>
    <row r="32" spans="1:5">
      <c r="A32" s="68"/>
      <c r="B32" s="59"/>
      <c r="C32" s="58"/>
      <c r="D32" s="75"/>
      <c r="E32" s="60"/>
    </row>
    <row r="33" spans="1:6">
      <c r="A33" s="68"/>
      <c r="B33" s="57"/>
      <c r="C33" s="63"/>
      <c r="D33" s="75"/>
      <c r="E33" s="60"/>
    </row>
    <row r="34" spans="1:6">
      <c r="A34" s="68"/>
      <c r="B34" s="59"/>
      <c r="C34" s="58"/>
      <c r="D34" s="75"/>
      <c r="E34" s="67"/>
    </row>
    <row r="35" spans="1:6">
      <c r="A35" s="68"/>
      <c r="B35" s="59"/>
      <c r="C35" s="58"/>
      <c r="D35" s="75"/>
      <c r="E35" s="60"/>
    </row>
    <row r="36" spans="1:6">
      <c r="A36" s="68"/>
      <c r="B36" s="78"/>
      <c r="C36" s="79"/>
      <c r="D36" s="75"/>
      <c r="E36"/>
    </row>
    <row r="37" spans="1:6">
      <c r="A37" s="68"/>
      <c r="B37" s="59"/>
      <c r="C37" s="58"/>
      <c r="D37" s="75"/>
      <c r="E37" s="60"/>
    </row>
    <row r="38" spans="1:6">
      <c r="A38" s="68"/>
      <c r="B38" s="57"/>
      <c r="C38" s="63"/>
      <c r="D38" s="75"/>
      <c r="E38"/>
    </row>
    <row r="39" spans="1:6">
      <c r="A39" s="68"/>
      <c r="B39" s="59"/>
      <c r="C39" s="58"/>
      <c r="D39" s="75"/>
      <c r="E39" s="83"/>
      <c r="F39" s="84"/>
    </row>
    <row r="40" spans="1:6">
      <c r="A40" s="68"/>
      <c r="B40" s="59"/>
      <c r="C40" s="58"/>
      <c r="D40" s="75"/>
      <c r="E40"/>
    </row>
    <row r="41" spans="1:6">
      <c r="A41" s="68"/>
      <c r="B41" s="59"/>
      <c r="C41" s="58"/>
      <c r="D41" s="75"/>
      <c r="E41" s="81"/>
    </row>
    <row r="42" spans="1:6">
      <c r="A42" s="68"/>
      <c r="B42" s="59"/>
      <c r="C42" s="58"/>
      <c r="D42" s="75"/>
      <c r="E42" s="67"/>
    </row>
    <row r="43" spans="1:6">
      <c r="A43" s="68"/>
      <c r="B43" s="78"/>
      <c r="C43" s="58"/>
      <c r="D43" s="75"/>
      <c r="E43" s="67"/>
    </row>
    <row r="44" spans="1:6">
      <c r="A44" s="68"/>
      <c r="B44" s="78"/>
      <c r="C44" s="58"/>
      <c r="D44" s="75"/>
      <c r="E44" s="60"/>
    </row>
    <row r="45" spans="1:6">
      <c r="A45" s="68"/>
      <c r="B45" s="78"/>
      <c r="C45" s="58"/>
      <c r="D45" s="75"/>
    </row>
    <row r="46" spans="1:6">
      <c r="A46" s="68"/>
      <c r="B46" s="59"/>
      <c r="C46" s="58"/>
      <c r="D46" s="75"/>
      <c r="E46" s="60"/>
      <c r="F46" s="65"/>
    </row>
    <row r="47" spans="1:6">
      <c r="A47" s="68"/>
      <c r="B47" s="59"/>
      <c r="C47" s="58"/>
      <c r="D47" s="75"/>
      <c r="E47" s="60"/>
      <c r="F47" s="65"/>
    </row>
    <row r="48" spans="1:6">
      <c r="A48" s="4"/>
      <c r="B48" s="62"/>
      <c r="C48" s="61"/>
      <c r="D48" s="75"/>
      <c r="E48" s="81"/>
      <c r="F48" s="65"/>
    </row>
    <row r="49" spans="1:6">
      <c r="A49" s="4"/>
      <c r="B49" s="62"/>
      <c r="C49" s="61"/>
      <c r="D49" s="75"/>
      <c r="E49" s="60"/>
    </row>
    <row r="50" spans="1:6">
      <c r="A50" s="68"/>
      <c r="B50" s="59"/>
      <c r="C50" s="58"/>
      <c r="D50" s="75"/>
      <c r="E50" s="60"/>
    </row>
    <row r="51" spans="1:6">
      <c r="A51" s="4"/>
      <c r="C51" s="12"/>
      <c r="D51" s="74"/>
    </row>
    <row r="52" spans="1:6">
      <c r="A52" s="4"/>
      <c r="B52" s="66"/>
      <c r="C52" s="61"/>
      <c r="D52" s="76"/>
      <c r="E52" s="67"/>
    </row>
    <row r="53" spans="1:6">
      <c r="A53" s="11" t="s">
        <v>26</v>
      </c>
      <c r="B53" s="62"/>
      <c r="C53" s="61"/>
      <c r="D53" s="75"/>
      <c r="E53" s="60"/>
      <c r="F53" s="65"/>
    </row>
    <row r="54" spans="1:6">
      <c r="A54" s="4"/>
      <c r="B54" s="62" t="s">
        <v>59</v>
      </c>
      <c r="C54" s="61">
        <v>44270</v>
      </c>
      <c r="D54" s="75">
        <v>-4900000</v>
      </c>
      <c r="E54" s="60" t="s">
        <v>60</v>
      </c>
      <c r="F54" s="65"/>
    </row>
    <row r="55" spans="1:6">
      <c r="A55" s="4"/>
      <c r="B55" s="62"/>
      <c r="C55" s="61"/>
      <c r="D55" s="75"/>
      <c r="E55" s="60"/>
      <c r="F55" s="65"/>
    </row>
    <row r="56" spans="1:6">
      <c r="A56" s="4"/>
      <c r="B56" s="62"/>
      <c r="C56" s="61"/>
      <c r="D56" s="75"/>
      <c r="E56" s="60"/>
      <c r="F56" s="65"/>
    </row>
    <row r="57" spans="1:6">
      <c r="A57" s="4"/>
      <c r="B57" s="62"/>
      <c r="C57" s="61"/>
      <c r="D57" s="75"/>
      <c r="E57" s="60"/>
      <c r="F57" s="65"/>
    </row>
    <row r="58" spans="1:6">
      <c r="A58" s="4"/>
      <c r="B58" s="62"/>
      <c r="C58" s="61"/>
      <c r="D58" s="74"/>
      <c r="E58" s="60"/>
      <c r="F58" s="65"/>
    </row>
    <row r="59" spans="1:6">
      <c r="A59" s="45"/>
      <c r="B59" s="46"/>
      <c r="C59" s="47"/>
      <c r="D59" s="77"/>
    </row>
    <row r="60" spans="1:6" s="1" customFormat="1" ht="15">
      <c r="A60" s="48" t="s">
        <v>27</v>
      </c>
      <c r="B60" s="49"/>
      <c r="C60" s="50"/>
      <c r="D60" s="89">
        <f>SUM(D23:D59)</f>
        <v>0</v>
      </c>
    </row>
    <row r="61" spans="1:6" ht="15">
      <c r="A61" s="108" t="s">
        <v>28</v>
      </c>
      <c r="B61" s="109"/>
      <c r="C61" s="14" t="s">
        <v>29</v>
      </c>
      <c r="D61" s="72"/>
    </row>
    <row r="62" spans="1:6" ht="15">
      <c r="A62" s="24" t="s">
        <v>30</v>
      </c>
      <c r="B62"/>
      <c r="C62" s="15"/>
      <c r="D62" s="72"/>
    </row>
    <row r="63" spans="1:6" s="1" customFormat="1" ht="15">
      <c r="A63" s="51" t="s">
        <v>31</v>
      </c>
      <c r="B63"/>
      <c r="C63" s="14"/>
      <c r="D63" s="72"/>
    </row>
    <row r="64" spans="1:6" ht="15">
      <c r="A64" s="51" t="s">
        <v>32</v>
      </c>
      <c r="B64"/>
      <c r="C64" s="16"/>
      <c r="D64" s="72"/>
    </row>
    <row r="65" spans="1:4" s="1" customFormat="1" ht="14.25">
      <c r="A65" s="51" t="s">
        <v>33</v>
      </c>
      <c r="B65"/>
      <c r="C65" s="17"/>
      <c r="D65" s="72"/>
    </row>
    <row r="66" spans="1:4" s="1" customFormat="1" ht="14.25">
      <c r="A66" s="52" t="s">
        <v>34</v>
      </c>
      <c r="B66"/>
      <c r="C66" s="16"/>
      <c r="D66" s="72"/>
    </row>
    <row r="67" spans="1:4" s="1" customFormat="1" ht="14.25">
      <c r="A67" s="51" t="s">
        <v>35</v>
      </c>
      <c r="B67"/>
      <c r="C67" s="18" t="s">
        <v>36</v>
      </c>
      <c r="D67" s="72"/>
    </row>
    <row r="68" spans="1:4" s="1" customFormat="1" ht="14.25">
      <c r="A68" s="18" t="s">
        <v>37</v>
      </c>
      <c r="B68"/>
      <c r="C68" s="13" t="s">
        <v>38</v>
      </c>
      <c r="D68" s="73"/>
    </row>
    <row r="69" spans="1:4" s="1" customFormat="1" ht="14.25">
      <c r="A69" s="53"/>
      <c r="B69" s="54"/>
      <c r="C69" s="55" t="s">
        <v>39</v>
      </c>
      <c r="D69" s="56"/>
    </row>
  </sheetData>
  <mergeCells count="5">
    <mergeCell ref="A1:D1"/>
    <mergeCell ref="A2:D2"/>
    <mergeCell ref="A3:D3"/>
    <mergeCell ref="A4:D4"/>
    <mergeCell ref="A61:B61"/>
  </mergeCells>
  <printOptions horizontalCentered="1" verticalCentered="1"/>
  <pageMargins left="0.25" right="0.25" top="0.25" bottom="0.25" header="0" footer="0"/>
  <pageSetup paperSize="9" scale="87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DF21-29B5-4F7C-9230-461949A42A93}">
  <sheetPr>
    <pageSetUpPr fitToPage="1"/>
  </sheetPr>
  <dimension ref="A1:H69"/>
  <sheetViews>
    <sheetView workbookViewId="0">
      <selection activeCell="A26" sqref="A26"/>
    </sheetView>
  </sheetViews>
  <sheetFormatPr defaultColWidth="9.140625" defaultRowHeight="12.75"/>
  <cols>
    <col min="1" max="1" width="17.42578125" style="5" customWidth="1"/>
    <col min="2" max="2" width="51.85546875" style="5" customWidth="1"/>
    <col min="3" max="3" width="24.7109375" style="9" customWidth="1"/>
    <col min="4" max="4" width="18.28515625" style="10" customWidth="1"/>
    <col min="5" max="5" width="18" style="8" customWidth="1"/>
    <col min="6" max="16384" width="9.140625" style="8"/>
  </cols>
  <sheetData>
    <row r="1" spans="1:8" s="5" customFormat="1" ht="34.5">
      <c r="A1" s="99" t="s">
        <v>0</v>
      </c>
      <c r="B1" s="100"/>
      <c r="C1" s="100"/>
      <c r="D1" s="101"/>
    </row>
    <row r="2" spans="1:8" s="5" customFormat="1">
      <c r="A2" s="102" t="s">
        <v>1</v>
      </c>
      <c r="B2" s="103"/>
      <c r="C2" s="103"/>
      <c r="D2" s="104"/>
    </row>
    <row r="3" spans="1:8" s="5" customFormat="1">
      <c r="A3" s="102" t="s">
        <v>2</v>
      </c>
      <c r="B3" s="103"/>
      <c r="C3" s="103"/>
      <c r="D3" s="104"/>
    </row>
    <row r="4" spans="1:8" s="5" customFormat="1" ht="15.75">
      <c r="A4" s="105" t="s">
        <v>3</v>
      </c>
      <c r="B4" s="106"/>
      <c r="C4" s="106"/>
      <c r="D4" s="107"/>
    </row>
    <row r="5" spans="1:8" s="5" customFormat="1" ht="15.75">
      <c r="A5" s="29"/>
      <c r="B5" s="88"/>
      <c r="C5" s="20" t="s">
        <v>4</v>
      </c>
      <c r="D5" s="86" t="s">
        <v>49</v>
      </c>
      <c r="E5" s="8"/>
      <c r="F5" s="8"/>
      <c r="G5" s="8"/>
      <c r="H5" s="8"/>
    </row>
    <row r="6" spans="1:8" ht="15.75">
      <c r="A6" s="29"/>
      <c r="B6" s="88"/>
      <c r="C6" s="20" t="s">
        <v>5</v>
      </c>
      <c r="D6" s="87">
        <v>44252</v>
      </c>
    </row>
    <row r="7" spans="1:8">
      <c r="A7" s="30" t="s">
        <v>6</v>
      </c>
      <c r="B7" s="26"/>
      <c r="C7" s="31" t="s">
        <v>7</v>
      </c>
      <c r="D7" s="34"/>
    </row>
    <row r="8" spans="1:8" ht="15.75">
      <c r="A8" s="21" t="s">
        <v>8</v>
      </c>
      <c r="B8" s="3"/>
      <c r="C8" s="25" t="s">
        <v>42</v>
      </c>
      <c r="D8" s="69"/>
    </row>
    <row r="9" spans="1:8">
      <c r="A9" s="13" t="s">
        <v>9</v>
      </c>
      <c r="C9" s="25" t="s">
        <v>44</v>
      </c>
      <c r="D9" s="70"/>
    </row>
    <row r="10" spans="1:8" ht="12.75" customHeight="1">
      <c r="A10" s="21" t="s">
        <v>10</v>
      </c>
      <c r="C10" s="25" t="s">
        <v>43</v>
      </c>
      <c r="D10" s="70"/>
    </row>
    <row r="11" spans="1:8">
      <c r="A11" s="21" t="s">
        <v>11</v>
      </c>
      <c r="B11" s="7"/>
      <c r="C11" s="25" t="s">
        <v>41</v>
      </c>
      <c r="D11" s="70"/>
    </row>
    <row r="12" spans="1:8">
      <c r="A12" s="13"/>
      <c r="C12" s="35" t="s">
        <v>40</v>
      </c>
      <c r="D12" s="70"/>
    </row>
    <row r="13" spans="1:8">
      <c r="A13" s="13"/>
      <c r="C13" s="44" t="s">
        <v>45</v>
      </c>
      <c r="D13" s="70"/>
    </row>
    <row r="14" spans="1:8">
      <c r="A14" s="13"/>
      <c r="C14" s="44" t="s">
        <v>46</v>
      </c>
      <c r="D14" s="70"/>
    </row>
    <row r="15" spans="1:8">
      <c r="A15" s="13"/>
      <c r="C15" s="35"/>
      <c r="D15" s="70"/>
    </row>
    <row r="16" spans="1:8">
      <c r="A16" s="33" t="s">
        <v>12</v>
      </c>
      <c r="C16" s="22" t="s">
        <v>13</v>
      </c>
      <c r="D16" s="70"/>
    </row>
    <row r="17" spans="1:5">
      <c r="A17" s="29" t="s">
        <v>14</v>
      </c>
      <c r="C17" s="25" t="s">
        <v>15</v>
      </c>
      <c r="D17" s="70"/>
    </row>
    <row r="18" spans="1:5">
      <c r="A18" s="13"/>
      <c r="C18" s="32" t="s">
        <v>16</v>
      </c>
      <c r="D18" s="70"/>
    </row>
    <row r="19" spans="1:5" s="2" customFormat="1" ht="15.75">
      <c r="A19" s="21"/>
      <c r="B19" s="27"/>
      <c r="C19" s="32" t="s">
        <v>17</v>
      </c>
      <c r="D19" s="71"/>
    </row>
    <row r="20" spans="1:5" s="2" customFormat="1" ht="15.75">
      <c r="A20" s="28"/>
      <c r="B20" s="27"/>
      <c r="C20" s="23"/>
      <c r="D20" s="71"/>
    </row>
    <row r="21" spans="1:5" s="1" customFormat="1" ht="15">
      <c r="A21" s="36" t="s">
        <v>18</v>
      </c>
      <c r="B21" s="37" t="s">
        <v>19</v>
      </c>
      <c r="C21" s="38" t="s">
        <v>20</v>
      </c>
      <c r="D21" s="39" t="s">
        <v>21</v>
      </c>
    </row>
    <row r="22" spans="1:5" s="1" customFormat="1" ht="15">
      <c r="A22" s="40" t="s">
        <v>22</v>
      </c>
      <c r="B22" s="41" t="s">
        <v>23</v>
      </c>
      <c r="C22" s="42"/>
      <c r="D22" s="43" t="s">
        <v>24</v>
      </c>
    </row>
    <row r="23" spans="1:5">
      <c r="A23" s="4"/>
      <c r="B23" s="19" t="s">
        <v>25</v>
      </c>
      <c r="C23" s="6"/>
      <c r="D23" s="74"/>
    </row>
    <row r="24" spans="1:5">
      <c r="A24" s="85" t="s">
        <v>47</v>
      </c>
      <c r="B24" s="59"/>
      <c r="C24" s="58"/>
      <c r="D24" s="75"/>
    </row>
    <row r="25" spans="1:5">
      <c r="A25" s="64" t="s">
        <v>85</v>
      </c>
      <c r="B25" s="57"/>
      <c r="C25" s="63"/>
      <c r="D25" s="75"/>
      <c r="E25" s="82"/>
    </row>
    <row r="26" spans="1:5">
      <c r="A26" s="13">
        <v>5502075</v>
      </c>
      <c r="B26" t="s">
        <v>52</v>
      </c>
      <c r="C26" s="90" t="s">
        <v>50</v>
      </c>
      <c r="D26" s="73">
        <v>3500000</v>
      </c>
      <c r="E26" s="19" t="s">
        <v>51</v>
      </c>
    </row>
    <row r="27" spans="1:5">
      <c r="A27" s="68"/>
      <c r="B27" s="59"/>
      <c r="C27" s="58"/>
      <c r="D27" s="75"/>
      <c r="E27" s="67"/>
    </row>
    <row r="28" spans="1:5">
      <c r="A28" s="68"/>
      <c r="B28" s="59"/>
      <c r="C28" s="58"/>
      <c r="D28" s="80"/>
      <c r="E28" s="60"/>
    </row>
    <row r="29" spans="1:5">
      <c r="A29" s="68"/>
      <c r="B29" s="59"/>
      <c r="C29" s="58"/>
      <c r="D29" s="75"/>
      <c r="E29" s="67"/>
    </row>
    <row r="30" spans="1:5">
      <c r="A30" s="68"/>
      <c r="B30" s="59"/>
      <c r="C30" s="58"/>
      <c r="D30" s="75"/>
      <c r="E30" s="67"/>
    </row>
    <row r="31" spans="1:5">
      <c r="A31" s="68"/>
      <c r="B31" s="59"/>
      <c r="C31" s="58"/>
      <c r="D31" s="75"/>
      <c r="E31" s="60"/>
    </row>
    <row r="32" spans="1:5">
      <c r="A32" s="68"/>
      <c r="B32" s="59"/>
      <c r="C32" s="58"/>
      <c r="D32" s="75"/>
      <c r="E32" s="60"/>
    </row>
    <row r="33" spans="1:6">
      <c r="A33" s="68"/>
      <c r="B33" s="57"/>
      <c r="C33" s="63"/>
      <c r="D33" s="75"/>
      <c r="E33" s="60"/>
    </row>
    <row r="34" spans="1:6">
      <c r="A34" s="68"/>
      <c r="B34" s="59"/>
      <c r="C34" s="58"/>
      <c r="D34" s="75"/>
      <c r="E34" s="67"/>
    </row>
    <row r="35" spans="1:6">
      <c r="A35" s="68"/>
      <c r="B35" s="59"/>
      <c r="C35" s="58"/>
      <c r="D35" s="75"/>
      <c r="E35" s="60"/>
    </row>
    <row r="36" spans="1:6">
      <c r="A36" s="68"/>
      <c r="B36" s="78"/>
      <c r="C36" s="79"/>
      <c r="D36" s="75"/>
      <c r="E36"/>
    </row>
    <row r="37" spans="1:6">
      <c r="A37" s="68"/>
      <c r="B37" s="59"/>
      <c r="C37" s="58"/>
      <c r="D37" s="75"/>
      <c r="E37" s="60"/>
    </row>
    <row r="38" spans="1:6">
      <c r="A38" s="68"/>
      <c r="B38" s="57"/>
      <c r="C38" s="63"/>
      <c r="D38" s="75"/>
      <c r="E38"/>
    </row>
    <row r="39" spans="1:6">
      <c r="A39" s="68"/>
      <c r="B39" s="59"/>
      <c r="C39" s="58"/>
      <c r="D39" s="75"/>
      <c r="E39" s="83"/>
      <c r="F39" s="84"/>
    </row>
    <row r="40" spans="1:6">
      <c r="A40" s="68"/>
      <c r="B40" s="59"/>
      <c r="C40" s="58"/>
      <c r="D40" s="75"/>
      <c r="E40"/>
    </row>
    <row r="41" spans="1:6">
      <c r="A41" s="68"/>
      <c r="B41" s="59"/>
      <c r="C41" s="58"/>
      <c r="D41" s="75"/>
      <c r="E41" s="81"/>
    </row>
    <row r="42" spans="1:6">
      <c r="A42" s="68"/>
      <c r="B42" s="59"/>
      <c r="C42" s="58"/>
      <c r="D42" s="75"/>
      <c r="E42" s="67"/>
    </row>
    <row r="43" spans="1:6">
      <c r="A43" s="68"/>
      <c r="B43" s="78"/>
      <c r="C43" s="58"/>
      <c r="D43" s="75"/>
      <c r="E43" s="67"/>
    </row>
    <row r="44" spans="1:6">
      <c r="A44" s="68"/>
      <c r="B44" s="78"/>
      <c r="C44" s="58"/>
      <c r="D44" s="75"/>
      <c r="E44" s="60"/>
    </row>
    <row r="45" spans="1:6">
      <c r="A45" s="68"/>
      <c r="B45" s="78"/>
      <c r="C45" s="58"/>
      <c r="D45" s="75"/>
    </row>
    <row r="46" spans="1:6">
      <c r="A46" s="68"/>
      <c r="B46" s="59"/>
      <c r="C46" s="58"/>
      <c r="D46" s="75"/>
      <c r="E46" s="60"/>
      <c r="F46" s="65"/>
    </row>
    <row r="47" spans="1:6">
      <c r="A47" s="68"/>
      <c r="B47" s="59"/>
      <c r="C47" s="58"/>
      <c r="D47" s="75"/>
      <c r="E47" s="60"/>
      <c r="F47" s="65"/>
    </row>
    <row r="48" spans="1:6">
      <c r="A48" s="4"/>
      <c r="B48" s="62"/>
      <c r="C48" s="61"/>
      <c r="D48" s="75"/>
      <c r="E48" s="81"/>
      <c r="F48" s="65"/>
    </row>
    <row r="49" spans="1:6">
      <c r="A49" s="4"/>
      <c r="B49" s="62"/>
      <c r="C49" s="61"/>
      <c r="D49" s="75"/>
      <c r="E49" s="60"/>
    </row>
    <row r="50" spans="1:6">
      <c r="A50" s="68"/>
      <c r="B50" s="59"/>
      <c r="C50" s="58"/>
      <c r="D50" s="75"/>
      <c r="E50" s="60"/>
    </row>
    <row r="51" spans="1:6">
      <c r="A51" s="4"/>
      <c r="C51" s="12"/>
      <c r="D51" s="74"/>
    </row>
    <row r="52" spans="1:6">
      <c r="A52" s="4"/>
      <c r="B52" s="66"/>
      <c r="C52" s="61"/>
      <c r="D52" s="76"/>
      <c r="E52" s="67"/>
    </row>
    <row r="53" spans="1:6">
      <c r="A53" s="11" t="s">
        <v>26</v>
      </c>
      <c r="B53" s="62"/>
      <c r="C53" s="61"/>
      <c r="D53" s="75"/>
      <c r="E53" s="60"/>
      <c r="F53" s="65"/>
    </row>
    <row r="54" spans="1:6">
      <c r="A54" s="4"/>
      <c r="B54" s="62" t="s">
        <v>59</v>
      </c>
      <c r="C54" s="61">
        <v>44270</v>
      </c>
      <c r="D54" s="75">
        <v>-3500000</v>
      </c>
      <c r="E54" s="60" t="s">
        <v>60</v>
      </c>
      <c r="F54" s="65"/>
    </row>
    <row r="55" spans="1:6">
      <c r="A55" s="4"/>
      <c r="B55" s="62"/>
      <c r="C55" s="61"/>
      <c r="D55" s="75"/>
      <c r="E55" s="60"/>
      <c r="F55" s="65"/>
    </row>
    <row r="56" spans="1:6">
      <c r="A56" s="4"/>
      <c r="B56" s="62"/>
      <c r="C56" s="61"/>
      <c r="D56" s="75"/>
      <c r="E56" s="60"/>
      <c r="F56" s="65"/>
    </row>
    <row r="57" spans="1:6">
      <c r="A57" s="4"/>
      <c r="B57" s="62"/>
      <c r="C57" s="61"/>
      <c r="D57" s="75"/>
      <c r="E57" s="60"/>
      <c r="F57" s="65"/>
    </row>
    <row r="58" spans="1:6">
      <c r="A58" s="4"/>
      <c r="B58" s="62"/>
      <c r="C58" s="61"/>
      <c r="D58" s="74"/>
      <c r="E58" s="60"/>
      <c r="F58" s="65"/>
    </row>
    <row r="59" spans="1:6">
      <c r="A59" s="45"/>
      <c r="B59" s="46"/>
      <c r="C59" s="47"/>
      <c r="D59" s="77"/>
    </row>
    <row r="60" spans="1:6" s="1" customFormat="1" ht="15">
      <c r="A60" s="48" t="s">
        <v>27</v>
      </c>
      <c r="B60" s="49"/>
      <c r="C60" s="50"/>
      <c r="D60" s="89">
        <f>SUM(D23:D59)</f>
        <v>0</v>
      </c>
    </row>
    <row r="61" spans="1:6" ht="15">
      <c r="A61" s="108" t="s">
        <v>28</v>
      </c>
      <c r="B61" s="109"/>
      <c r="C61" s="14" t="s">
        <v>29</v>
      </c>
      <c r="D61" s="72"/>
    </row>
    <row r="62" spans="1:6" ht="15">
      <c r="A62" s="24" t="s">
        <v>30</v>
      </c>
      <c r="B62"/>
      <c r="C62" s="15"/>
      <c r="D62" s="72"/>
    </row>
    <row r="63" spans="1:6" s="1" customFormat="1" ht="15">
      <c r="A63" s="51" t="s">
        <v>31</v>
      </c>
      <c r="B63"/>
      <c r="C63" s="14"/>
      <c r="D63" s="72"/>
    </row>
    <row r="64" spans="1:6" ht="15">
      <c r="A64" s="51" t="s">
        <v>32</v>
      </c>
      <c r="B64"/>
      <c r="C64" s="16"/>
      <c r="D64" s="72"/>
    </row>
    <row r="65" spans="1:4" s="1" customFormat="1" ht="14.25">
      <c r="A65" s="51" t="s">
        <v>33</v>
      </c>
      <c r="B65"/>
      <c r="C65" s="17"/>
      <c r="D65" s="72"/>
    </row>
    <row r="66" spans="1:4" s="1" customFormat="1" ht="14.25">
      <c r="A66" s="52" t="s">
        <v>34</v>
      </c>
      <c r="B66"/>
      <c r="C66" s="16"/>
      <c r="D66" s="72"/>
    </row>
    <row r="67" spans="1:4" s="1" customFormat="1" ht="14.25">
      <c r="A67" s="51" t="s">
        <v>35</v>
      </c>
      <c r="B67"/>
      <c r="C67" s="18" t="s">
        <v>36</v>
      </c>
      <c r="D67" s="72"/>
    </row>
    <row r="68" spans="1:4" s="1" customFormat="1" ht="14.25">
      <c r="A68" s="18" t="s">
        <v>37</v>
      </c>
      <c r="B68"/>
      <c r="C68" s="13" t="s">
        <v>38</v>
      </c>
      <c r="D68" s="73"/>
    </row>
    <row r="69" spans="1:4" s="1" customFormat="1" ht="14.25">
      <c r="A69" s="53"/>
      <c r="B69" s="54"/>
      <c r="C69" s="55" t="s">
        <v>39</v>
      </c>
      <c r="D69" s="56"/>
    </row>
  </sheetData>
  <mergeCells count="5">
    <mergeCell ref="A1:D1"/>
    <mergeCell ref="A2:D2"/>
    <mergeCell ref="A3:D3"/>
    <mergeCell ref="A4:D4"/>
    <mergeCell ref="A61:B61"/>
  </mergeCells>
  <printOptions horizontalCentered="1" verticalCentered="1"/>
  <pageMargins left="0.25" right="0.25" top="0.25" bottom="0.25" header="0" footer="0"/>
  <pageSetup paperSize="9" scale="87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PF-2021 VMCL (4)</vt:lpstr>
      <vt:lpstr>PF-2021 VMCL (3B)</vt:lpstr>
      <vt:lpstr>PF-2021 VMCL (3A)</vt:lpstr>
      <vt:lpstr>PF-2021 VMCL (2)</vt:lpstr>
      <vt:lpstr>PF-2021 VMCL (1)</vt:lpstr>
      <vt:lpstr>'PF-2021 VMCL (1)'!Print_Area</vt:lpstr>
      <vt:lpstr>'PF-2021 VMCL (2)'!Print_Area</vt:lpstr>
      <vt:lpstr>'PF-2021 VMCL (3A)'!Print_Area</vt:lpstr>
      <vt:lpstr>'PF-2021 VMCL (3B)'!Print_Area</vt:lpstr>
      <vt:lpstr>'PF-2021 VMCL (4)'!Print_Area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 Forma Invoice</dc:title>
  <dc:subject/>
  <dc:creator>Jason Church</dc:creator>
  <cp:keywords/>
  <dc:description/>
  <cp:lastModifiedBy>Duc</cp:lastModifiedBy>
  <cp:revision/>
  <cp:lastPrinted>2021-07-18T11:53:44Z</cp:lastPrinted>
  <dcterms:created xsi:type="dcterms:W3CDTF">1995-09-24T03:56:52Z</dcterms:created>
  <dcterms:modified xsi:type="dcterms:W3CDTF">2021-08-02T07:30:20Z</dcterms:modified>
  <cp:category/>
  <cp:contentStatus/>
</cp:coreProperties>
</file>